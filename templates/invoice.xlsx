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00.27\2025年度\物件データ\アミューズメント\TOHOシネマズ\★全店管理案件\webアプリ構築用\"/>
    </mc:Choice>
  </mc:AlternateContent>
  <xr:revisionPtr revIDLastSave="0" documentId="13_ncr:1_{8FC023AB-292B-4223-AD08-287A002DB867}" xr6:coauthVersionLast="47" xr6:coauthVersionMax="47" xr10:uidLastSave="{00000000-0000-0000-0000-000000000000}"/>
  <bookViews>
    <workbookView xWindow="-108" yWindow="-108" windowWidth="23256" windowHeight="14856" tabRatio="601" firstSheet="1" activeTab="1" xr2:uid="{00000000-000D-0000-FFFF-FFFF00000000}"/>
  </bookViews>
  <sheets>
    <sheet name="000000" sheetId="45" state="veryHidden" r:id="rId1"/>
    <sheet name="請求書" sheetId="61" r:id="rId2"/>
  </sheets>
  <externalReferences>
    <externalReference r:id="rId3"/>
  </externalReferences>
  <definedNames>
    <definedName name="_xlnm.Database">[1]部屋条件!$A$1:$L$65536</definedName>
    <definedName name="Excel_BuiltIn_Database">[1]部屋条件!$A$1:$L$65536</definedName>
    <definedName name="_xlnm.Print_Area" localSheetId="1">請求書!$A$1:$AQ$36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4" i="61" l="1"/>
  <c r="AI1" i="61"/>
  <c r="B6" i="61" l="1"/>
  <c r="Y36" i="61" l="1"/>
  <c r="S17" i="61" s="1"/>
  <c r="AG36" i="61" l="1"/>
  <c r="AK36" i="61" s="1"/>
  <c r="AA17" i="61" l="1"/>
  <c r="AI17" i="61" s="1"/>
</calcChain>
</file>

<file path=xl/sharedStrings.xml><?xml version="1.0" encoding="utf-8"?>
<sst xmlns="http://schemas.openxmlformats.org/spreadsheetml/2006/main" count="29" uniqueCount="28">
  <si>
    <t>発行日</t>
    <rPh sb="0" eb="2">
      <t>ハッコウ</t>
    </rPh>
    <rPh sb="2" eb="3">
      <t>ビ</t>
    </rPh>
    <phoneticPr fontId="2"/>
  </si>
  <si>
    <t>請 　求 　書</t>
    <rPh sb="0" eb="1">
      <t>ショウ</t>
    </rPh>
    <rPh sb="3" eb="4">
      <t>モトム</t>
    </rPh>
    <rPh sb="6" eb="7">
      <t>ショ</t>
    </rPh>
    <phoneticPr fontId="2"/>
  </si>
  <si>
    <t>御中</t>
    <rPh sb="0" eb="2">
      <t>オンチュウ</t>
    </rPh>
    <phoneticPr fontId="2"/>
  </si>
  <si>
    <t>毎度お引立てに預り誠にありがとうございます。</t>
    <rPh sb="0" eb="2">
      <t>マイド</t>
    </rPh>
    <rPh sb="3" eb="5">
      <t>ヒキタ</t>
    </rPh>
    <rPh sb="7" eb="8">
      <t>アズカ</t>
    </rPh>
    <rPh sb="9" eb="10">
      <t>マコト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</si>
  <si>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</si>
  <si>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繰越金額</t>
    <rPh sb="0" eb="2">
      <t>クリコシ</t>
    </rPh>
    <rPh sb="2" eb="3">
      <t>キン</t>
    </rPh>
    <rPh sb="3" eb="4">
      <t>ガク</t>
    </rPh>
    <phoneticPr fontId="2"/>
  </si>
  <si>
    <t>御入金額</t>
    <rPh sb="0" eb="3">
      <t>ゴニュウキン</t>
    </rPh>
    <rPh sb="3" eb="4">
      <t>ガク</t>
    </rPh>
    <phoneticPr fontId="2"/>
  </si>
  <si>
    <t>当月御請求額</t>
    <rPh sb="0" eb="2">
      <t>トウゲツ</t>
    </rPh>
    <rPh sb="2" eb="5">
      <t>ゴセイキュウ</t>
    </rPh>
    <rPh sb="5" eb="6">
      <t>ガク</t>
    </rPh>
    <phoneticPr fontId="2"/>
  </si>
  <si>
    <t>消費税</t>
    <rPh sb="0" eb="3">
      <t>ショウヒゼイ</t>
    </rPh>
    <phoneticPr fontId="2"/>
  </si>
  <si>
    <t>御請求額合計</t>
    <rPh sb="0" eb="3">
      <t>ゴセイキュウ</t>
    </rPh>
    <rPh sb="3" eb="4">
      <t>ガク</t>
    </rPh>
    <rPh sb="4" eb="6">
      <t>ゴウケイ</t>
    </rPh>
    <phoneticPr fontId="2"/>
  </si>
  <si>
    <t>月日</t>
    <rPh sb="0" eb="2">
      <t>ツキヒ</t>
    </rPh>
    <phoneticPr fontId="2"/>
  </si>
  <si>
    <t>商品番号・商品名</t>
    <rPh sb="0" eb="2">
      <t>ショウヒン</t>
    </rPh>
    <rPh sb="2" eb="4">
      <t>バンゴウ</t>
    </rPh>
    <rPh sb="5" eb="8">
      <t>ショウヒンメイ</t>
    </rPh>
    <phoneticPr fontId="2"/>
  </si>
  <si>
    <t>数　量</t>
    <rPh sb="0" eb="1">
      <t>カズ</t>
    </rPh>
    <rPh sb="2" eb="3">
      <t>リョウ</t>
    </rPh>
    <phoneticPr fontId="2"/>
  </si>
  <si>
    <t>単位</t>
    <rPh sb="0" eb="2">
      <t>タンイ</t>
    </rPh>
    <phoneticPr fontId="2"/>
  </si>
  <si>
    <t>単　価</t>
    <rPh sb="0" eb="1">
      <t>タン</t>
    </rPh>
    <rPh sb="2" eb="3">
      <t>アタイ</t>
    </rPh>
    <phoneticPr fontId="2"/>
  </si>
  <si>
    <t>金　　額</t>
    <rPh sb="0" eb="1">
      <t>キン</t>
    </rPh>
    <rPh sb="3" eb="4">
      <t>ガク</t>
    </rPh>
    <phoneticPr fontId="2"/>
  </si>
  <si>
    <t>式</t>
    <rPh sb="0" eb="1">
      <t>シキ</t>
    </rPh>
    <phoneticPr fontId="2"/>
  </si>
  <si>
    <t>合　　　　計</t>
    <rPh sb="0" eb="1">
      <t>ゴウ</t>
    </rPh>
    <rPh sb="5" eb="6">
      <t>ケイ</t>
    </rPh>
    <phoneticPr fontId="2"/>
  </si>
  <si>
    <t>振込先</t>
    <rPh sb="0" eb="2">
      <t>フリコミ</t>
    </rPh>
    <rPh sb="2" eb="3">
      <t>サキ</t>
    </rPh>
    <phoneticPr fontId="2"/>
  </si>
  <si>
    <t>総　額</t>
    <rPh sb="0" eb="1">
      <t>ソウ</t>
    </rPh>
    <rPh sb="2" eb="3">
      <t>ガク</t>
    </rPh>
    <phoneticPr fontId="2"/>
  </si>
  <si>
    <t>建プロ登録</t>
    <rPh sb="0" eb="1">
      <t>ケン</t>
    </rPh>
    <rPh sb="3" eb="5">
      <t>トウロク</t>
    </rPh>
    <phoneticPr fontId="5"/>
  </si>
  <si>
    <t>〒100-8421</t>
    <phoneticPr fontId="5"/>
  </si>
  <si>
    <t>三菱東京UFJ銀行：大森支店　
当座　9003653
菱熱工業株式会社　ﾘｮｳﾈﾂｺｳｷﾞｮｳ(ｶ</t>
    <rPh sb="0" eb="2">
      <t>ミツビシ</t>
    </rPh>
    <rPh sb="2" eb="4">
      <t>トウキョウ</t>
    </rPh>
    <rPh sb="7" eb="9">
      <t>ギンコウ</t>
    </rPh>
    <rPh sb="10" eb="12">
      <t>オオモリ</t>
    </rPh>
    <rPh sb="12" eb="14">
      <t>シテン</t>
    </rPh>
    <rPh sb="16" eb="18">
      <t>トウザ</t>
    </rPh>
    <rPh sb="27" eb="28">
      <t>リョウ</t>
    </rPh>
    <rPh sb="28" eb="29">
      <t>ネツ</t>
    </rPh>
    <rPh sb="29" eb="31">
      <t>コウギョウ</t>
    </rPh>
    <rPh sb="31" eb="33">
      <t>カブシキ</t>
    </rPh>
    <rPh sb="33" eb="35">
      <t>カイシャ</t>
    </rPh>
    <phoneticPr fontId="2"/>
  </si>
  <si>
    <t>消費税(10%)</t>
    <rPh sb="0" eb="3">
      <t>ショウヒゼイ</t>
    </rPh>
    <phoneticPr fontId="2"/>
  </si>
  <si>
    <t>東京都千代田区有楽町１丁目１−３ 東京宝塚ビル 7F</t>
    <phoneticPr fontId="5"/>
  </si>
  <si>
    <t>ここに、劇場名　見積り名を記載</t>
    <rPh sb="4" eb="7">
      <t>ゲキジョウメイ</t>
    </rPh>
    <rPh sb="8" eb="10">
      <t>ミツモ</t>
    </rPh>
    <rPh sb="11" eb="12">
      <t>メイ</t>
    </rPh>
    <rPh sb="13" eb="15">
      <t>キサイ</t>
    </rPh>
    <phoneticPr fontId="5"/>
  </si>
  <si>
    <t>作業完了日を記載</t>
    <rPh sb="0" eb="2">
      <t>サギョウ</t>
    </rPh>
    <rPh sb="2" eb="4">
      <t>カンリョウ</t>
    </rPh>
    <rPh sb="4" eb="5">
      <t>ビ</t>
    </rPh>
    <rPh sb="6" eb="8">
      <t>キサイ</t>
    </rPh>
    <phoneticPr fontId="5"/>
  </si>
  <si>
    <t>見積り金額を記載</t>
    <rPh sb="0" eb="2">
      <t>ミツモ</t>
    </rPh>
    <rPh sb="3" eb="5">
      <t>キンガク</t>
    </rPh>
    <rPh sb="6" eb="8">
      <t>キサイ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</si>
</sst>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8" formatCode="&quot;$&quot;#,##0;[Red]\-&quot;$&quot;#,##0"/>
    <numFmt numFmtId="185" formatCode="m/d;@"/>
    <numFmt numFmtId="186" formatCode="[$-F800]dddd\,\ mmmm\ dd\,\ yyyy"/>
    <numFmt numFmtId="190" formatCode="#,##0\ \ "/>
    <numFmt numFmtId="191" formatCode="#,##0\ "/>
    <numFmt numFmtId="192" formatCode="#,##0\ \ \ "/>
  </numFmts>
  <fonts count="28">
    <font>
      <sz val="12"/>
      <name val="ＨＧ丸ゴシックM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Courier"/>
      <family val="3"/>
    </font>
    <font>
      <sz val="6"/>
      <name val="ＨＧ丸ゴシックM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SｺﾞｼｯｸM"/>
      <family val="3"/>
      <charset val="128"/>
    </font>
    <font>
      <sz val="8"/>
      <color theme="1"/>
      <name val="HGSｺﾞｼｯｸM"/>
      <family val="3"/>
      <charset val="128"/>
    </font>
    <font>
      <b/>
      <sz val="11"/>
      <color theme="1"/>
      <name val="HGSｺﾞｼｯｸM"/>
      <family val="3"/>
      <charset val="128"/>
    </font>
    <font>
      <b/>
      <sz val="18"/>
      <color theme="1"/>
      <name val="HGSｺﾞｼｯｸM"/>
      <family val="3"/>
      <charset val="128"/>
    </font>
    <font>
      <sz val="11"/>
      <color theme="1"/>
      <name val="HGP明朝E"/>
      <family val="1"/>
      <charset val="128"/>
    </font>
    <font>
      <sz val="14"/>
      <color theme="1"/>
      <name val="HGP明朝E"/>
      <family val="1"/>
      <charset val="128"/>
    </font>
    <font>
      <sz val="16"/>
      <color theme="1"/>
      <name val="HGP明朝E"/>
      <family val="1"/>
      <charset val="128"/>
    </font>
    <font>
      <sz val="8"/>
      <color theme="1"/>
      <name val="HGP明朝E"/>
      <family val="1"/>
      <charset val="128"/>
    </font>
    <font>
      <sz val="7"/>
      <color theme="1"/>
      <name val="HGP明朝E"/>
      <family val="1"/>
      <charset val="128"/>
    </font>
    <font>
      <sz val="10"/>
      <color theme="1"/>
      <name val="HGSｺﾞｼｯｸM"/>
      <family val="3"/>
      <charset val="128"/>
    </font>
    <font>
      <sz val="10"/>
      <color theme="1"/>
      <name val="HGP明朝E"/>
      <family val="1"/>
      <charset val="128"/>
    </font>
    <font>
      <sz val="12"/>
      <color theme="1"/>
      <name val="HGSｺﾞｼｯｸM"/>
      <family val="3"/>
      <charset val="128"/>
    </font>
    <font>
      <sz val="11"/>
      <color theme="1"/>
      <name val="Wingdings"/>
      <charset val="2"/>
    </font>
    <font>
      <sz val="12"/>
      <color theme="1"/>
      <name val="HGP明朝E"/>
      <family val="1"/>
      <charset val="128"/>
    </font>
    <font>
      <sz val="9"/>
      <color theme="1"/>
      <name val="HGP明朝E"/>
      <family val="1"/>
      <charset val="128"/>
    </font>
    <font>
      <b/>
      <sz val="18"/>
      <color theme="1"/>
      <name val="HGP明朝E"/>
      <family val="1"/>
      <charset val="128"/>
    </font>
    <font>
      <sz val="9"/>
      <color theme="1"/>
      <name val="HGSｺﾞｼｯｸM"/>
      <family val="3"/>
      <charset val="128"/>
    </font>
    <font>
      <b/>
      <sz val="14"/>
      <color theme="1"/>
      <name val="HGP明朝E"/>
      <family val="1"/>
      <charset val="128"/>
    </font>
    <font>
      <sz val="9"/>
      <color rgb="FF000000"/>
      <name val="Meiryo UI"/>
      <family val="3"/>
      <charset val="128"/>
    </font>
    <font>
      <sz val="11"/>
      <color rgb="FFFF0000"/>
      <name val="HGSｺﾞｼｯｸM"/>
      <family val="3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6" fontId="3" fillId="0" borderId="0" applyFont="0" applyFill="0" applyBorder="0" applyAlignment="0" applyProtection="0"/>
    <xf numFmtId="0" fontId="3" fillId="0" borderId="0"/>
    <xf numFmtId="0" fontId="7" fillId="0" borderId="0">
      <alignment vertical="center"/>
    </xf>
    <xf numFmtId="0" fontId="1" fillId="0" borderId="0"/>
  </cellStyleXfs>
  <cellXfs count="120">
    <xf numFmtId="0" fontId="0" fillId="0" borderId="0" xfId="0"/>
    <xf numFmtId="0" fontId="8" fillId="0" borderId="0" xfId="11" applyFont="1">
      <alignment vertical="center"/>
    </xf>
    <xf numFmtId="0" fontId="9" fillId="0" borderId="0" xfId="11" applyFont="1">
      <alignment vertical="center"/>
    </xf>
    <xf numFmtId="0" fontId="10" fillId="0" borderId="0" xfId="11" applyFont="1" applyAlignment="1"/>
    <xf numFmtId="0" fontId="11" fillId="0" borderId="0" xfId="11" applyFont="1" applyAlignment="1">
      <alignment horizontal="center" vertical="center"/>
    </xf>
    <xf numFmtId="0" fontId="8" fillId="0" borderId="0" xfId="11" applyFont="1" applyAlignment="1"/>
    <xf numFmtId="0" fontId="12" fillId="0" borderId="0" xfId="11" applyFont="1">
      <alignment vertical="center"/>
    </xf>
    <xf numFmtId="0" fontId="13" fillId="0" borderId="0" xfId="11" applyFont="1">
      <alignment vertical="center"/>
    </xf>
    <xf numFmtId="0" fontId="14" fillId="0" borderId="0" xfId="11" applyFont="1">
      <alignment vertical="center"/>
    </xf>
    <xf numFmtId="0" fontId="14" fillId="0" borderId="18" xfId="11" applyFont="1" applyBorder="1">
      <alignment vertical="center"/>
    </xf>
    <xf numFmtId="0" fontId="14" fillId="0" borderId="19" xfId="11" applyFont="1" applyBorder="1">
      <alignment vertical="center"/>
    </xf>
    <xf numFmtId="0" fontId="13" fillId="0" borderId="19" xfId="11" applyFont="1" applyBorder="1">
      <alignment vertical="center"/>
    </xf>
    <xf numFmtId="0" fontId="15" fillId="0" borderId="0" xfId="11" applyFont="1">
      <alignment vertical="center"/>
    </xf>
    <xf numFmtId="0" fontId="16" fillId="0" borderId="0" xfId="11" applyFont="1">
      <alignment vertical="center"/>
    </xf>
    <xf numFmtId="0" fontId="17" fillId="0" borderId="0" xfId="11" applyFont="1">
      <alignment vertical="center"/>
    </xf>
    <xf numFmtId="0" fontId="15" fillId="0" borderId="0" xfId="11" applyFont="1" applyAlignment="1">
      <alignment horizontal="left"/>
    </xf>
    <xf numFmtId="0" fontId="15" fillId="0" borderId="0" xfId="11" applyFont="1" applyAlignment="1">
      <alignment horizontal="center"/>
    </xf>
    <xf numFmtId="0" fontId="14" fillId="0" borderId="0" xfId="11" applyFont="1" applyAlignment="1">
      <alignment horizontal="center" vertical="center"/>
    </xf>
    <xf numFmtId="0" fontId="15" fillId="0" borderId="0" xfId="11" applyFont="1" applyAlignment="1">
      <alignment horizontal="center" vertical="top"/>
    </xf>
    <xf numFmtId="0" fontId="18" fillId="0" borderId="0" xfId="11" applyFont="1">
      <alignment vertical="center"/>
    </xf>
    <xf numFmtId="192" fontId="8" fillId="0" borderId="0" xfId="11" applyNumberFormat="1" applyFont="1">
      <alignment vertical="center"/>
    </xf>
    <xf numFmtId="192" fontId="7" fillId="0" borderId="0" xfId="11" applyNumberFormat="1">
      <alignment vertical="center"/>
    </xf>
    <xf numFmtId="190" fontId="8" fillId="0" borderId="0" xfId="11" applyNumberFormat="1" applyFont="1">
      <alignment vertical="center"/>
    </xf>
    <xf numFmtId="0" fontId="19" fillId="0" borderId="2" xfId="11" applyFont="1" applyBorder="1">
      <alignment vertical="center"/>
    </xf>
    <xf numFmtId="0" fontId="19" fillId="0" borderId="1" xfId="11" applyFont="1" applyBorder="1">
      <alignment vertical="center"/>
    </xf>
    <xf numFmtId="14" fontId="20" fillId="0" borderId="0" xfId="11" applyNumberFormat="1" applyFont="1">
      <alignment vertical="center"/>
    </xf>
    <xf numFmtId="0" fontId="12" fillId="0" borderId="0" xfId="11" applyFont="1" applyAlignment="1">
      <alignment horizontal="left" vertical="center"/>
    </xf>
    <xf numFmtId="190" fontId="17" fillId="0" borderId="33" xfId="11" applyNumberFormat="1" applyFont="1" applyBorder="1" applyAlignment="1">
      <alignment horizontal="center" vertical="center"/>
    </xf>
    <xf numFmtId="0" fontId="17" fillId="0" borderId="40" xfId="11" applyFont="1" applyBorder="1" applyAlignment="1">
      <alignment horizontal="center" vertical="center"/>
    </xf>
    <xf numFmtId="0" fontId="17" fillId="0" borderId="33" xfId="11" applyFont="1" applyBorder="1" applyAlignment="1">
      <alignment horizontal="center" vertical="center"/>
    </xf>
    <xf numFmtId="0" fontId="17" fillId="0" borderId="34" xfId="11" applyFont="1" applyBorder="1" applyAlignment="1">
      <alignment horizontal="center" vertical="center"/>
    </xf>
    <xf numFmtId="0" fontId="17" fillId="0" borderId="32" xfId="11" applyFont="1" applyBorder="1" applyAlignment="1">
      <alignment horizontal="center" vertical="center"/>
    </xf>
    <xf numFmtId="190" fontId="17" fillId="0" borderId="32" xfId="11" applyNumberFormat="1" applyFont="1" applyBorder="1" applyAlignment="1">
      <alignment horizontal="center" vertical="center"/>
    </xf>
    <xf numFmtId="190" fontId="17" fillId="0" borderId="34" xfId="11" applyNumberFormat="1" applyFont="1" applyBorder="1" applyAlignment="1">
      <alignment horizontal="center" vertical="center"/>
    </xf>
    <xf numFmtId="49" fontId="8" fillId="0" borderId="0" xfId="11" applyNumberFormat="1" applyFont="1" applyAlignment="1">
      <alignment horizontal="center" vertical="center"/>
    </xf>
    <xf numFmtId="0" fontId="23" fillId="0" borderId="0" xfId="11" applyFont="1" applyAlignment="1">
      <alignment horizontal="center" vertical="center"/>
    </xf>
    <xf numFmtId="186" fontId="17" fillId="0" borderId="0" xfId="11" applyNumberFormat="1" applyFont="1" applyAlignment="1">
      <alignment horizontal="right"/>
    </xf>
    <xf numFmtId="0" fontId="24" fillId="0" borderId="0" xfId="11" applyFont="1" applyAlignment="1">
      <alignment horizontal="left" vertical="center"/>
    </xf>
    <xf numFmtId="0" fontId="25" fillId="0" borderId="0" xfId="11" applyFont="1" applyAlignment="1">
      <alignment horizontal="center" vertical="center"/>
    </xf>
    <xf numFmtId="0" fontId="25" fillId="0" borderId="18" xfId="11" applyFont="1" applyBorder="1" applyAlignment="1">
      <alignment horizontal="center" vertical="center"/>
    </xf>
    <xf numFmtId="0" fontId="13" fillId="0" borderId="0" xfId="11" applyFont="1" applyAlignment="1">
      <alignment horizontal="center" vertical="center"/>
    </xf>
    <xf numFmtId="0" fontId="13" fillId="0" borderId="18" xfId="11" applyFont="1" applyBorder="1" applyAlignment="1">
      <alignment horizontal="center" vertical="center"/>
    </xf>
    <xf numFmtId="0" fontId="13" fillId="0" borderId="0" xfId="11" applyFont="1" applyAlignment="1">
      <alignment horizontal="center"/>
    </xf>
    <xf numFmtId="0" fontId="21" fillId="0" borderId="0" xfId="11" applyFont="1" applyAlignment="1">
      <alignment horizontal="center"/>
    </xf>
    <xf numFmtId="0" fontId="16" fillId="0" borderId="0" xfId="11" applyFont="1" applyAlignment="1">
      <alignment horizontal="left"/>
    </xf>
    <xf numFmtId="0" fontId="22" fillId="0" borderId="0" xfId="11" applyFont="1" applyAlignment="1">
      <alignment horizontal="left" vertical="center"/>
    </xf>
    <xf numFmtId="0" fontId="17" fillId="0" borderId="13" xfId="11" applyFont="1" applyBorder="1" applyAlignment="1">
      <alignment horizontal="center" vertical="center"/>
    </xf>
    <xf numFmtId="0" fontId="17" fillId="0" borderId="14" xfId="11" applyFont="1" applyBorder="1" applyAlignment="1">
      <alignment horizontal="center" vertical="center"/>
    </xf>
    <xf numFmtId="0" fontId="8" fillId="0" borderId="14" xfId="11" applyFont="1" applyBorder="1" applyAlignment="1">
      <alignment horizontal="center" vertical="center"/>
    </xf>
    <xf numFmtId="0" fontId="8" fillId="0" borderId="17" xfId="11" applyFont="1" applyBorder="1" applyAlignment="1">
      <alignment horizontal="center" vertical="center"/>
    </xf>
    <xf numFmtId="190" fontId="8" fillId="0" borderId="15" xfId="11" applyNumberFormat="1" applyFont="1" applyBorder="1" applyAlignment="1">
      <alignment horizontal="right" vertical="center"/>
    </xf>
    <xf numFmtId="190" fontId="8" fillId="0" borderId="11" xfId="11" applyNumberFormat="1" applyFont="1" applyBorder="1" applyAlignment="1">
      <alignment horizontal="right" vertical="center"/>
    </xf>
    <xf numFmtId="190" fontId="8" fillId="0" borderId="12" xfId="11" applyNumberFormat="1" applyFont="1" applyBorder="1" applyAlignment="1">
      <alignment horizontal="right" vertical="center"/>
    </xf>
    <xf numFmtId="190" fontId="17" fillId="0" borderId="41" xfId="11" applyNumberFormat="1" applyFont="1" applyBorder="1" applyAlignment="1">
      <alignment horizontal="center" vertical="center"/>
    </xf>
    <xf numFmtId="190" fontId="17" fillId="0" borderId="42" xfId="11" applyNumberFormat="1" applyFont="1" applyBorder="1" applyAlignment="1">
      <alignment horizontal="center" vertical="center"/>
    </xf>
    <xf numFmtId="185" fontId="8" fillId="0" borderId="22" xfId="11" applyNumberFormat="1" applyFont="1" applyBorder="1" applyAlignment="1">
      <alignment horizontal="center" vertical="center"/>
    </xf>
    <xf numFmtId="185" fontId="8" fillId="0" borderId="8" xfId="11" applyNumberFormat="1" applyFont="1" applyBorder="1" applyAlignment="1">
      <alignment horizontal="center" vertical="center"/>
    </xf>
    <xf numFmtId="0" fontId="8" fillId="0" borderId="8" xfId="11" applyFont="1" applyBorder="1" applyAlignment="1">
      <alignment horizontal="left" vertical="center"/>
    </xf>
    <xf numFmtId="190" fontId="8" fillId="0" borderId="10" xfId="11" applyNumberFormat="1" applyFont="1" applyBorder="1" applyAlignment="1">
      <alignment horizontal="right" vertical="center"/>
    </xf>
    <xf numFmtId="190" fontId="8" fillId="0" borderId="10" xfId="11" applyNumberFormat="1" applyFont="1" applyBorder="1" applyAlignment="1">
      <alignment horizontal="center" vertical="center"/>
    </xf>
    <xf numFmtId="191" fontId="8" fillId="0" borderId="21" xfId="11" applyNumberFormat="1" applyFont="1" applyBorder="1" applyAlignment="1">
      <alignment horizontal="center" vertical="center"/>
    </xf>
    <xf numFmtId="191" fontId="8" fillId="0" borderId="4" xfId="11" applyNumberFormat="1" applyFont="1" applyBorder="1" applyAlignment="1">
      <alignment horizontal="center" vertical="center"/>
    </xf>
    <xf numFmtId="191" fontId="8" fillId="0" borderId="9" xfId="11" applyNumberFormat="1" applyFont="1" applyBorder="1" applyAlignment="1">
      <alignment horizontal="center" vertical="center"/>
    </xf>
    <xf numFmtId="192" fontId="8" fillId="0" borderId="21" xfId="11" applyNumberFormat="1" applyFont="1" applyBorder="1" applyAlignment="1">
      <alignment horizontal="right" vertical="center"/>
    </xf>
    <xf numFmtId="192" fontId="8" fillId="0" borderId="4" xfId="11" applyNumberFormat="1" applyFont="1" applyBorder="1" applyAlignment="1">
      <alignment horizontal="right" vertical="center"/>
    </xf>
    <xf numFmtId="192" fontId="8" fillId="0" borderId="5" xfId="11" applyNumberFormat="1" applyFont="1" applyBorder="1" applyAlignment="1">
      <alignment horizontal="right" vertical="center"/>
    </xf>
    <xf numFmtId="185" fontId="27" fillId="0" borderId="22" xfId="11" applyNumberFormat="1" applyFont="1" applyBorder="1" applyAlignment="1">
      <alignment horizontal="center" vertical="center"/>
    </xf>
    <xf numFmtId="185" fontId="27" fillId="0" borderId="8" xfId="11" applyNumberFormat="1" applyFont="1" applyBorder="1" applyAlignment="1">
      <alignment horizontal="center" vertical="center"/>
    </xf>
    <xf numFmtId="0" fontId="27" fillId="0" borderId="8" xfId="11" applyFont="1" applyBorder="1" applyAlignment="1">
      <alignment horizontal="left" vertical="center" shrinkToFit="1"/>
    </xf>
    <xf numFmtId="192" fontId="27" fillId="0" borderId="21" xfId="11" applyNumberFormat="1" applyFont="1" applyBorder="1" applyAlignment="1">
      <alignment horizontal="right" vertical="center"/>
    </xf>
    <xf numFmtId="192" fontId="27" fillId="0" borderId="4" xfId="11" applyNumberFormat="1" applyFont="1" applyBorder="1" applyAlignment="1">
      <alignment horizontal="right" vertical="center"/>
    </xf>
    <xf numFmtId="192" fontId="27" fillId="0" borderId="5" xfId="11" applyNumberFormat="1" applyFont="1" applyBorder="1" applyAlignment="1">
      <alignment horizontal="right" vertical="center"/>
    </xf>
    <xf numFmtId="0" fontId="8" fillId="0" borderId="36" xfId="11" applyFont="1" applyBorder="1" applyAlignment="1">
      <alignment horizontal="left" vertical="center"/>
    </xf>
    <xf numFmtId="0" fontId="8" fillId="0" borderId="37" xfId="11" applyFont="1" applyBorder="1" applyAlignment="1">
      <alignment horizontal="left" vertical="center"/>
    </xf>
    <xf numFmtId="0" fontId="8" fillId="0" borderId="38" xfId="11" applyFont="1" applyBorder="1" applyAlignment="1">
      <alignment horizontal="left" vertical="center"/>
    </xf>
    <xf numFmtId="190" fontId="8" fillId="0" borderId="8" xfId="11" applyNumberFormat="1" applyFont="1" applyBorder="1" applyAlignment="1">
      <alignment horizontal="right" vertical="center"/>
    </xf>
    <xf numFmtId="190" fontId="8" fillId="0" borderId="16" xfId="11" applyNumberFormat="1" applyFont="1" applyBorder="1" applyAlignment="1">
      <alignment horizontal="center" vertical="center"/>
    </xf>
    <xf numFmtId="191" fontId="8" fillId="0" borderId="36" xfId="11" applyNumberFormat="1" applyFont="1" applyBorder="1" applyAlignment="1">
      <alignment horizontal="center" vertical="center"/>
    </xf>
    <xf numFmtId="191" fontId="8" fillId="0" borderId="37" xfId="11" applyNumberFormat="1" applyFont="1" applyBorder="1" applyAlignment="1">
      <alignment horizontal="center" vertical="center"/>
    </xf>
    <xf numFmtId="191" fontId="8" fillId="0" borderId="38" xfId="11" applyNumberFormat="1" applyFont="1" applyBorder="1" applyAlignment="1">
      <alignment horizontal="center" vertical="center"/>
    </xf>
    <xf numFmtId="192" fontId="8" fillId="0" borderId="36" xfId="11" applyNumberFormat="1" applyFont="1" applyBorder="1" applyAlignment="1">
      <alignment horizontal="right" vertical="center"/>
    </xf>
    <xf numFmtId="192" fontId="8" fillId="0" borderId="37" xfId="11" applyNumberFormat="1" applyFont="1" applyBorder="1" applyAlignment="1">
      <alignment horizontal="right" vertical="center"/>
    </xf>
    <xf numFmtId="192" fontId="8" fillId="0" borderId="39" xfId="11" applyNumberFormat="1" applyFont="1" applyBorder="1" applyAlignment="1">
      <alignment horizontal="right" vertical="center"/>
    </xf>
    <xf numFmtId="190" fontId="8" fillId="0" borderId="10" xfId="11" applyNumberFormat="1" applyFont="1" applyBorder="1">
      <alignment vertical="center"/>
    </xf>
    <xf numFmtId="190" fontId="8" fillId="0" borderId="21" xfId="11" applyNumberFormat="1" applyFont="1" applyBorder="1" applyAlignment="1">
      <alignment horizontal="right" vertical="center"/>
    </xf>
    <xf numFmtId="190" fontId="8" fillId="0" borderId="4" xfId="11" applyNumberFormat="1" applyFont="1" applyBorder="1" applyAlignment="1">
      <alignment horizontal="right" vertical="center"/>
    </xf>
    <xf numFmtId="190" fontId="8" fillId="0" borderId="9" xfId="11" applyNumberFormat="1" applyFont="1" applyBorder="1" applyAlignment="1">
      <alignment horizontal="right" vertical="center"/>
    </xf>
    <xf numFmtId="191" fontId="8" fillId="0" borderId="10" xfId="11" applyNumberFormat="1" applyFont="1" applyBorder="1" applyAlignment="1">
      <alignment horizontal="center" vertical="center"/>
    </xf>
    <xf numFmtId="185" fontId="8" fillId="0" borderId="30" xfId="11" applyNumberFormat="1" applyFont="1" applyBorder="1" applyAlignment="1">
      <alignment horizontal="center" vertical="center"/>
    </xf>
    <xf numFmtId="185" fontId="8" fillId="0" borderId="31" xfId="11" applyNumberFormat="1" applyFont="1" applyBorder="1" applyAlignment="1">
      <alignment horizontal="center" vertical="center"/>
    </xf>
    <xf numFmtId="0" fontId="8" fillId="0" borderId="32" xfId="11" applyFont="1" applyBorder="1" applyAlignment="1">
      <alignment horizontal="center" vertical="center"/>
    </xf>
    <xf numFmtId="0" fontId="8" fillId="0" borderId="33" xfId="11" applyFont="1" applyBorder="1" applyAlignment="1">
      <alignment horizontal="center" vertical="center"/>
    </xf>
    <xf numFmtId="0" fontId="8" fillId="0" borderId="34" xfId="11" applyFont="1" applyBorder="1" applyAlignment="1">
      <alignment horizontal="center" vertical="center"/>
    </xf>
    <xf numFmtId="190" fontId="8" fillId="0" borderId="31" xfId="11" applyNumberFormat="1" applyFont="1" applyBorder="1">
      <alignment vertical="center"/>
    </xf>
    <xf numFmtId="190" fontId="8" fillId="0" borderId="8" xfId="11" applyNumberFormat="1" applyFont="1" applyBorder="1" applyAlignment="1">
      <alignment horizontal="center" vertical="center"/>
    </xf>
    <xf numFmtId="191" fontId="8" fillId="0" borderId="31" xfId="11" applyNumberFormat="1" applyFont="1" applyBorder="1" applyAlignment="1">
      <alignment horizontal="center" vertical="center"/>
    </xf>
    <xf numFmtId="190" fontId="8" fillId="0" borderId="31" xfId="11" applyNumberFormat="1" applyFont="1" applyBorder="1" applyAlignment="1">
      <alignment horizontal="center" vertical="center"/>
    </xf>
    <xf numFmtId="190" fontId="8" fillId="0" borderId="35" xfId="11" applyNumberFormat="1" applyFont="1" applyBorder="1" applyAlignment="1">
      <alignment horizontal="center" vertical="center"/>
    </xf>
    <xf numFmtId="0" fontId="17" fillId="0" borderId="23" xfId="11" applyFont="1" applyBorder="1" applyAlignment="1">
      <alignment horizontal="center" vertical="center"/>
    </xf>
    <xf numFmtId="0" fontId="17" fillId="0" borderId="24" xfId="11" applyFont="1" applyBorder="1" applyAlignment="1">
      <alignment horizontal="center" vertical="center"/>
    </xf>
    <xf numFmtId="0" fontId="17" fillId="0" borderId="6" xfId="11" applyFont="1" applyBorder="1" applyAlignment="1">
      <alignment horizontal="center" vertical="center"/>
    </xf>
    <xf numFmtId="0" fontId="19" fillId="0" borderId="25" xfId="11" applyFont="1" applyBorder="1" applyAlignment="1">
      <alignment horizontal="left" vertical="center" wrapText="1" readingOrder="1"/>
    </xf>
    <xf numFmtId="0" fontId="19" fillId="0" borderId="26" xfId="11" applyFont="1" applyBorder="1" applyAlignment="1">
      <alignment horizontal="left" vertical="center" wrapText="1" readingOrder="1"/>
    </xf>
    <xf numFmtId="0" fontId="19" fillId="0" borderId="1" xfId="11" applyFont="1" applyBorder="1" applyAlignment="1">
      <alignment horizontal="left" vertical="center" wrapText="1" readingOrder="1"/>
    </xf>
    <xf numFmtId="0" fontId="19" fillId="0" borderId="20" xfId="11" applyFont="1" applyBorder="1" applyAlignment="1">
      <alignment horizontal="left" vertical="center" wrapText="1" readingOrder="1"/>
    </xf>
    <xf numFmtId="0" fontId="9" fillId="0" borderId="24" xfId="11" applyFont="1" applyBorder="1">
      <alignment vertical="center"/>
    </xf>
    <xf numFmtId="0" fontId="9" fillId="0" borderId="6" xfId="11" applyFont="1" applyBorder="1">
      <alignment vertical="center"/>
    </xf>
    <xf numFmtId="190" fontId="19" fillId="0" borderId="26" xfId="11" applyNumberFormat="1" applyFont="1" applyBorder="1" applyAlignment="1">
      <alignment horizontal="center" vertical="center"/>
    </xf>
    <xf numFmtId="190" fontId="19" fillId="0" borderId="27" xfId="11" applyNumberFormat="1" applyFont="1" applyBorder="1" applyAlignment="1">
      <alignment horizontal="center" vertical="center"/>
    </xf>
    <xf numFmtId="191" fontId="9" fillId="0" borderId="24" xfId="11" applyNumberFormat="1" applyFont="1" applyBorder="1" applyAlignment="1">
      <alignment horizontal="center" vertical="center"/>
    </xf>
    <xf numFmtId="190" fontId="9" fillId="0" borderId="28" xfId="11" applyNumberFormat="1" applyFont="1" applyBorder="1" applyAlignment="1">
      <alignment horizontal="left" vertical="center"/>
    </xf>
    <xf numFmtId="190" fontId="9" fillId="0" borderId="25" xfId="11" applyNumberFormat="1" applyFont="1" applyBorder="1" applyAlignment="1">
      <alignment horizontal="left" vertical="center"/>
    </xf>
    <xf numFmtId="190" fontId="9" fillId="0" borderId="29" xfId="11" applyNumberFormat="1" applyFont="1" applyBorder="1" applyAlignment="1">
      <alignment horizontal="left" vertical="center"/>
    </xf>
    <xf numFmtId="192" fontId="8" fillId="0" borderId="7" xfId="11" applyNumberFormat="1" applyFont="1" applyBorder="1" applyAlignment="1">
      <alignment horizontal="right" vertical="center"/>
    </xf>
    <xf numFmtId="0" fontId="8" fillId="0" borderId="1" xfId="11" applyFont="1" applyBorder="1" applyAlignment="1">
      <alignment horizontal="right" vertical="center"/>
    </xf>
    <xf numFmtId="0" fontId="8" fillId="0" borderId="20" xfId="11" applyFont="1" applyBorder="1" applyAlignment="1">
      <alignment horizontal="right" vertical="center"/>
    </xf>
    <xf numFmtId="3" fontId="8" fillId="0" borderId="7" xfId="11" applyNumberFormat="1" applyFont="1" applyBorder="1" applyAlignment="1">
      <alignment horizontal="center" vertical="center"/>
    </xf>
    <xf numFmtId="3" fontId="8" fillId="0" borderId="1" xfId="11" applyNumberFormat="1" applyFont="1" applyBorder="1" applyAlignment="1">
      <alignment horizontal="center" vertical="center"/>
    </xf>
    <xf numFmtId="3" fontId="8" fillId="0" borderId="20" xfId="11" applyNumberFormat="1" applyFont="1" applyBorder="1" applyAlignment="1">
      <alignment horizontal="center" vertical="center"/>
    </xf>
    <xf numFmtId="0" fontId="8" fillId="0" borderId="3" xfId="11" applyFont="1" applyBorder="1" applyAlignment="1">
      <alignment horizontal="right" vertical="center"/>
    </xf>
  </cellXfs>
  <cellStyles count="13">
    <cellStyle name="パーセント 2" xfId="1" xr:uid="{00000000-0005-0000-0000-000001000000}"/>
    <cellStyle name="ハイパーリンク 2" xfId="2" xr:uid="{00000000-0005-0000-0000-000002000000}"/>
    <cellStyle name="一般_EURBFA" xfId="3" xr:uid="{00000000-0005-0000-0000-000003000000}"/>
    <cellStyle name="貨幣[0]_EURBFA" xfId="4" xr:uid="{00000000-0005-0000-0000-000004000000}"/>
    <cellStyle name="貨幣_EURBFA" xfId="5" xr:uid="{00000000-0005-0000-0000-000005000000}"/>
    <cellStyle name="桁区切り 2" xfId="6" xr:uid="{00000000-0005-0000-0000-000006000000}"/>
    <cellStyle name="千分位[0]_EURBFA" xfId="7" xr:uid="{00000000-0005-0000-0000-000007000000}"/>
    <cellStyle name="千分位_EURBFA" xfId="8" xr:uid="{00000000-0005-0000-0000-000008000000}"/>
    <cellStyle name="通貨 2" xfId="9" xr:uid="{00000000-0005-0000-0000-000009000000}"/>
    <cellStyle name="標準" xfId="0" builtinId="0"/>
    <cellStyle name="標準 2" xfId="10" xr:uid="{00000000-0005-0000-0000-00000B000000}"/>
    <cellStyle name="標準 3" xfId="11" xr:uid="{00000000-0005-0000-0000-00000C000000}"/>
    <cellStyle name="未定義" xfId="1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15240</xdr:colOff>
          <xdr:row>8</xdr:row>
          <xdr:rowOff>129540</xdr:rowOff>
        </xdr:from>
        <xdr:to>
          <xdr:col>44</xdr:col>
          <xdr:colOff>571500</xdr:colOff>
          <xdr:row>10</xdr:row>
          <xdr:rowOff>38100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5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登録済み</a:t>
              </a:r>
            </a:p>
          </xdr:txBody>
        </xdr:sp>
        <xdr:clientData/>
      </xdr:twoCellAnchor>
    </mc:Choice>
    <mc:Fallback/>
  </mc:AlternateContent>
  <xdr:twoCellAnchor editAs="oneCell">
    <xdr:from>
      <xdr:col>35</xdr:col>
      <xdr:colOff>0</xdr:colOff>
      <xdr:row>4</xdr:row>
      <xdr:rowOff>146050</xdr:rowOff>
    </xdr:from>
    <xdr:to>
      <xdr:col>41</xdr:col>
      <xdr:colOff>82550</xdr:colOff>
      <xdr:row>10</xdr:row>
      <xdr:rowOff>25400</xdr:rowOff>
    </xdr:to>
    <xdr:pic>
      <xdr:nvPicPr>
        <xdr:cNvPr id="12315" name="図 3">
          <a:extLst>
            <a:ext uri="{FF2B5EF4-FFF2-40B4-BE49-F238E27FC236}">
              <a16:creationId xmlns:a16="http://schemas.microsoft.com/office/drawing/2014/main" id="{00000000-0008-0000-0800-00001B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0" y="825500"/>
          <a:ext cx="9588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50800</xdr:colOff>
      <xdr:row>4</xdr:row>
      <xdr:rowOff>165100</xdr:rowOff>
    </xdr:from>
    <xdr:to>
      <xdr:col>42</xdr:col>
      <xdr:colOff>78409</xdr:colOff>
      <xdr:row>13</xdr:row>
      <xdr:rowOff>82272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4032250" y="844550"/>
          <a:ext cx="2218359" cy="1460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</a:pPr>
          <a:r>
            <a:rPr kumimoji="1" lang="ja-JP" altLang="en-US" sz="1400">
              <a:latin typeface="HGP明朝E" panose="02020900000000000000" pitchFamily="18" charset="-128"/>
              <a:ea typeface="HGP明朝E" panose="02020900000000000000" pitchFamily="18" charset="-128"/>
            </a:rPr>
            <a:t>菱熱工業株式会社</a:t>
          </a:r>
          <a:endParaRPr kumimoji="1" lang="en-US" altLang="ja-JP" sz="1400">
            <a:latin typeface="HGP明朝E" panose="02020900000000000000" pitchFamily="18" charset="-128"/>
            <a:ea typeface="HGP明朝E" panose="02020900000000000000" pitchFamily="18" charset="-128"/>
          </a:endParaRPr>
        </a:p>
        <a:p>
          <a:pPr>
            <a:lnSpc>
              <a:spcPts val="1200"/>
            </a:lnSpc>
          </a:pPr>
          <a:r>
            <a:rPr kumimoji="1" lang="ja-JP" altLang="en-US" sz="1000">
              <a:latin typeface="HGP明朝E" panose="02020900000000000000" pitchFamily="18" charset="-128"/>
              <a:ea typeface="HGP明朝E" panose="02020900000000000000" pitchFamily="18" charset="-128"/>
            </a:rPr>
            <a:t>〒</a:t>
          </a:r>
          <a:r>
            <a:rPr kumimoji="1" lang="en-US" altLang="ja-JP" sz="1000">
              <a:latin typeface="HGP明朝E" panose="02020900000000000000" pitchFamily="18" charset="-128"/>
              <a:ea typeface="HGP明朝E" panose="02020900000000000000" pitchFamily="18" charset="-128"/>
            </a:rPr>
            <a:t>141-0001</a:t>
          </a:r>
        </a:p>
        <a:p>
          <a:pPr>
            <a:lnSpc>
              <a:spcPts val="1300"/>
            </a:lnSpc>
          </a:pPr>
          <a:r>
            <a:rPr kumimoji="1" lang="ja-JP" altLang="en-US" sz="1100">
              <a:latin typeface="HGP明朝E" panose="02020900000000000000" pitchFamily="18" charset="-128"/>
              <a:ea typeface="HGP明朝E" panose="02020900000000000000" pitchFamily="18" charset="-128"/>
            </a:rPr>
            <a:t>東京都品川区北品川</a:t>
          </a:r>
          <a:r>
            <a:rPr kumimoji="1" lang="en-US" altLang="ja-JP" sz="1100">
              <a:latin typeface="HGP明朝E" panose="02020900000000000000" pitchFamily="18" charset="-128"/>
              <a:ea typeface="HGP明朝E" panose="02020900000000000000" pitchFamily="18" charset="-128"/>
            </a:rPr>
            <a:t>6-7-29</a:t>
          </a:r>
        </a:p>
        <a:p>
          <a:pPr>
            <a:lnSpc>
              <a:spcPts val="1300"/>
            </a:lnSpc>
          </a:pPr>
          <a:r>
            <a:rPr kumimoji="1" lang="ja-JP" altLang="en-US" sz="1100">
              <a:latin typeface="HGP明朝E" panose="02020900000000000000" pitchFamily="18" charset="-128"/>
              <a:ea typeface="HGP明朝E" panose="02020900000000000000" pitchFamily="18" charset="-128"/>
            </a:rPr>
            <a:t>ガーデンシティ品川御殿山</a:t>
          </a:r>
          <a:endParaRPr kumimoji="1" lang="en-US" altLang="ja-JP" sz="1100">
            <a:latin typeface="HGP明朝E" panose="02020900000000000000" pitchFamily="18" charset="-128"/>
            <a:ea typeface="HGP明朝E" panose="02020900000000000000" pitchFamily="18" charset="-128"/>
          </a:endParaRPr>
        </a:p>
        <a:p>
          <a:pPr>
            <a:lnSpc>
              <a:spcPts val="1300"/>
            </a:lnSpc>
          </a:pPr>
          <a:endParaRPr kumimoji="1" lang="en-US" altLang="ja-JP" sz="1100">
            <a:latin typeface="HGP明朝E" panose="02020900000000000000" pitchFamily="18" charset="-128"/>
            <a:ea typeface="HGP明朝E" panose="02020900000000000000" pitchFamily="18" charset="-128"/>
          </a:endParaRPr>
        </a:p>
        <a:p>
          <a:pPr>
            <a:lnSpc>
              <a:spcPts val="1300"/>
            </a:lnSpc>
          </a:pPr>
          <a:r>
            <a:rPr kumimoji="1" lang="ja-JP" altLang="en-US" sz="1100">
              <a:latin typeface="HGP明朝E" panose="02020900000000000000" pitchFamily="18" charset="-128"/>
              <a:ea typeface="HGP明朝E" panose="02020900000000000000" pitchFamily="18" charset="-128"/>
            </a:rPr>
            <a:t>登録番号　</a:t>
          </a:r>
          <a:r>
            <a:rPr kumimoji="1" lang="en-US" altLang="ja-JP" sz="1100">
              <a:latin typeface="HGP明朝E" panose="02020900000000000000" pitchFamily="18" charset="-128"/>
              <a:ea typeface="HGP明朝E" panose="02020900000000000000" pitchFamily="18" charset="-128"/>
            </a:rPr>
            <a:t>T2010801012653</a:t>
          </a:r>
        </a:p>
        <a:p>
          <a:pPr>
            <a:lnSpc>
              <a:spcPts val="1300"/>
            </a:lnSpc>
          </a:pPr>
          <a:endParaRPr kumimoji="1" lang="en-US" altLang="ja-JP" sz="1100">
            <a:latin typeface="HGP明朝E" panose="02020900000000000000" pitchFamily="18" charset="-128"/>
            <a:ea typeface="HGP明朝E" panose="02020900000000000000" pitchFamily="18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d_svr01\k_drive\99_09g\Job\&#12458;&#12479;&#12501;&#12463;&#12477;&#12540;&#12473;\&#38651;&#27671;\&#29031;&#24230;&#35336;&#316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屋条件"/>
    </sheetNames>
    <sheetDataSet>
      <sheetData sheetId="0" refreshError="1">
        <row r="1">
          <cell r="A1" t="str">
            <v>No</v>
          </cell>
          <cell r="B1" t="str">
            <v>階</v>
          </cell>
          <cell r="C1" t="str">
            <v>室名</v>
          </cell>
          <cell r="D1" t="str">
            <v>必要照度</v>
          </cell>
          <cell r="E1" t="str">
            <v>照明器具</v>
          </cell>
          <cell r="F1" t="str">
            <v>ランプ種別</v>
          </cell>
          <cell r="G1" t="str">
            <v>ランプ定格</v>
          </cell>
          <cell r="H1" t="str">
            <v>ランプ本数</v>
          </cell>
          <cell r="I1" t="str">
            <v>間口</v>
          </cell>
          <cell r="J1" t="str">
            <v>奥行</v>
          </cell>
          <cell r="K1" t="str">
            <v>天井高</v>
          </cell>
          <cell r="L1" t="str">
            <v>作業面高</v>
          </cell>
        </row>
        <row r="2">
          <cell r="A2">
            <v>1</v>
          </cell>
          <cell r="B2" t="str">
            <v>工場ｴﾘｱ（荷受ｿﾞｰﾝ）</v>
          </cell>
          <cell r="C2" t="str">
            <v>荷受室</v>
          </cell>
          <cell r="D2">
            <v>150</v>
          </cell>
          <cell r="E2">
            <v>9</v>
          </cell>
          <cell r="F2" t="str">
            <v>HF</v>
          </cell>
          <cell r="G2">
            <v>200</v>
          </cell>
          <cell r="H2">
            <v>1</v>
          </cell>
          <cell r="I2">
            <v>18</v>
          </cell>
          <cell r="J2">
            <v>30</v>
          </cell>
          <cell r="K2">
            <v>7</v>
          </cell>
          <cell r="L2">
            <v>0</v>
          </cell>
        </row>
        <row r="3">
          <cell r="A3">
            <v>2</v>
          </cell>
          <cell r="B3" t="str">
            <v>工場ｴﾘｱ（荷受ｿﾞｰﾝ）</v>
          </cell>
          <cell r="C3" t="str">
            <v>同上庇部</v>
          </cell>
          <cell r="D3">
            <v>100</v>
          </cell>
          <cell r="E3">
            <v>9</v>
          </cell>
          <cell r="F3" t="str">
            <v>HF</v>
          </cell>
          <cell r="G3">
            <v>100</v>
          </cell>
          <cell r="H3">
            <v>1</v>
          </cell>
          <cell r="I3">
            <v>18</v>
          </cell>
          <cell r="J3">
            <v>4.8</v>
          </cell>
          <cell r="K3">
            <v>7</v>
          </cell>
          <cell r="L3">
            <v>0</v>
          </cell>
        </row>
        <row r="4">
          <cell r="A4">
            <v>3</v>
          </cell>
          <cell r="B4" t="str">
            <v>工場ｴﾘｱ（荷受ｿﾞｰﾝ）</v>
          </cell>
          <cell r="C4" t="str">
            <v>低温倉庫</v>
          </cell>
          <cell r="D4">
            <v>100</v>
          </cell>
          <cell r="E4">
            <v>9</v>
          </cell>
          <cell r="F4" t="str">
            <v>FL</v>
          </cell>
          <cell r="G4">
            <v>40</v>
          </cell>
          <cell r="H4">
            <v>2</v>
          </cell>
          <cell r="I4">
            <v>30</v>
          </cell>
          <cell r="J4">
            <v>32</v>
          </cell>
          <cell r="K4">
            <v>7</v>
          </cell>
          <cell r="L4">
            <v>0</v>
          </cell>
        </row>
        <row r="5">
          <cell r="A5">
            <v>4</v>
          </cell>
          <cell r="B5" t="str">
            <v>工場ｴﾘｱ（精米ｿﾞｰﾝ）</v>
          </cell>
          <cell r="C5" t="str">
            <v>玄米・精選室</v>
          </cell>
          <cell r="D5">
            <v>300</v>
          </cell>
          <cell r="E5">
            <v>9</v>
          </cell>
          <cell r="F5" t="str">
            <v>HF</v>
          </cell>
          <cell r="G5">
            <v>250</v>
          </cell>
          <cell r="H5">
            <v>1</v>
          </cell>
          <cell r="I5">
            <v>19.2</v>
          </cell>
          <cell r="J5">
            <v>25</v>
          </cell>
          <cell r="K5">
            <v>14</v>
          </cell>
          <cell r="L5">
            <v>0.7</v>
          </cell>
        </row>
        <row r="6">
          <cell r="A6">
            <v>5</v>
          </cell>
          <cell r="B6" t="str">
            <v>工場ｴﾘｱ（精米ｿﾞｰﾝ）</v>
          </cell>
          <cell r="C6" t="str">
            <v>精米・精選室</v>
          </cell>
          <cell r="D6">
            <v>300</v>
          </cell>
          <cell r="E6">
            <v>9</v>
          </cell>
          <cell r="F6" t="str">
            <v>HF</v>
          </cell>
          <cell r="G6">
            <v>250</v>
          </cell>
          <cell r="H6">
            <v>1</v>
          </cell>
          <cell r="I6">
            <v>19.2</v>
          </cell>
          <cell r="J6">
            <v>25</v>
          </cell>
          <cell r="K6">
            <v>14</v>
          </cell>
          <cell r="L6">
            <v>0.7</v>
          </cell>
        </row>
        <row r="7">
          <cell r="A7">
            <v>6</v>
          </cell>
          <cell r="B7" t="str">
            <v>工場ｴﾘｱ（精米ｿﾞｰﾝ）</v>
          </cell>
          <cell r="C7" t="str">
            <v>精米タンク室</v>
          </cell>
          <cell r="D7">
            <v>100</v>
          </cell>
          <cell r="E7">
            <v>9</v>
          </cell>
          <cell r="F7" t="str">
            <v>HF</v>
          </cell>
          <cell r="G7">
            <v>250</v>
          </cell>
          <cell r="H7">
            <v>1</v>
          </cell>
          <cell r="I7">
            <v>9.6</v>
          </cell>
          <cell r="J7">
            <v>25</v>
          </cell>
          <cell r="K7">
            <v>14</v>
          </cell>
          <cell r="L7">
            <v>0</v>
          </cell>
        </row>
        <row r="8">
          <cell r="A8">
            <v>7</v>
          </cell>
          <cell r="B8" t="str">
            <v>工場ｴﾘｱ（精米ｿﾞｰﾝ）</v>
          </cell>
          <cell r="C8" t="str">
            <v>糠出荷場</v>
          </cell>
          <cell r="D8">
            <v>200</v>
          </cell>
          <cell r="E8">
            <v>6</v>
          </cell>
          <cell r="F8" t="str">
            <v>FL</v>
          </cell>
          <cell r="G8">
            <v>40</v>
          </cell>
          <cell r="H8">
            <v>2</v>
          </cell>
          <cell r="I8">
            <v>9.6</v>
          </cell>
          <cell r="J8">
            <v>16</v>
          </cell>
          <cell r="K8">
            <v>6</v>
          </cell>
          <cell r="L8">
            <v>0</v>
          </cell>
        </row>
        <row r="9">
          <cell r="A9">
            <v>8</v>
          </cell>
          <cell r="B9" t="str">
            <v>工場ｴﾘｱ（精米ｿﾞｰﾝ）</v>
          </cell>
          <cell r="C9" t="str">
            <v>除糠水処理室</v>
          </cell>
          <cell r="D9">
            <v>200</v>
          </cell>
          <cell r="E9">
            <v>6</v>
          </cell>
          <cell r="F9" t="str">
            <v>FL</v>
          </cell>
          <cell r="G9">
            <v>40</v>
          </cell>
          <cell r="H9">
            <v>2</v>
          </cell>
          <cell r="I9">
            <v>9.6</v>
          </cell>
          <cell r="J9">
            <v>16</v>
          </cell>
          <cell r="K9">
            <v>5</v>
          </cell>
          <cell r="L9">
            <v>0</v>
          </cell>
        </row>
        <row r="10">
          <cell r="A10">
            <v>9</v>
          </cell>
          <cell r="B10" t="str">
            <v>工場ｴﾘｱ（精米ｿﾞｰﾝ）</v>
          </cell>
          <cell r="C10" t="str">
            <v>無精米室</v>
          </cell>
          <cell r="D10">
            <v>300</v>
          </cell>
          <cell r="E10">
            <v>9</v>
          </cell>
          <cell r="F10" t="str">
            <v>HF</v>
          </cell>
          <cell r="G10">
            <v>250</v>
          </cell>
          <cell r="H10">
            <v>1</v>
          </cell>
          <cell r="I10">
            <v>28.8</v>
          </cell>
          <cell r="J10">
            <v>16</v>
          </cell>
          <cell r="K10">
            <v>14</v>
          </cell>
          <cell r="L10">
            <v>0.7</v>
          </cell>
        </row>
        <row r="11">
          <cell r="A11">
            <v>10</v>
          </cell>
          <cell r="B11" t="str">
            <v>工場ｴﾘｱ（精米ｿﾞｰﾝ）</v>
          </cell>
          <cell r="C11" t="str">
            <v>ﾊﾞｯｸﾌｨﾙﾀ室</v>
          </cell>
          <cell r="D11">
            <v>200</v>
          </cell>
          <cell r="E11">
            <v>6</v>
          </cell>
          <cell r="F11" t="str">
            <v>FL</v>
          </cell>
          <cell r="G11">
            <v>40</v>
          </cell>
          <cell r="H11">
            <v>2</v>
          </cell>
          <cell r="I11">
            <v>9.6</v>
          </cell>
          <cell r="J11">
            <v>25</v>
          </cell>
          <cell r="K11">
            <v>9</v>
          </cell>
          <cell r="L11">
            <v>0</v>
          </cell>
        </row>
        <row r="12">
          <cell r="A12">
            <v>11</v>
          </cell>
          <cell r="B12" t="str">
            <v>工場ｴﾘｱ（精米ｿﾞｰﾝ）</v>
          </cell>
          <cell r="C12" t="str">
            <v>糠室</v>
          </cell>
          <cell r="D12">
            <v>200</v>
          </cell>
          <cell r="E12">
            <v>6</v>
          </cell>
          <cell r="F12" t="str">
            <v>HF</v>
          </cell>
          <cell r="G12">
            <v>200</v>
          </cell>
          <cell r="H12">
            <v>1</v>
          </cell>
          <cell r="I12">
            <v>9.6</v>
          </cell>
          <cell r="J12">
            <v>25</v>
          </cell>
          <cell r="K12">
            <v>8</v>
          </cell>
          <cell r="L12">
            <v>0</v>
          </cell>
        </row>
        <row r="13">
          <cell r="A13">
            <v>12</v>
          </cell>
          <cell r="B13" t="str">
            <v>工場ｴﾘｱ（計量・包装・出荷ｿﾞｰﾝ）</v>
          </cell>
          <cell r="C13" t="str">
            <v>計量・包装・出荷室</v>
          </cell>
          <cell r="D13">
            <v>300</v>
          </cell>
          <cell r="E13">
            <v>9</v>
          </cell>
          <cell r="F13" t="str">
            <v>HF</v>
          </cell>
          <cell r="G13">
            <v>250</v>
          </cell>
          <cell r="H13">
            <v>1</v>
          </cell>
          <cell r="I13">
            <v>48</v>
          </cell>
          <cell r="J13">
            <v>40</v>
          </cell>
          <cell r="K13">
            <v>12.1</v>
          </cell>
          <cell r="L13">
            <v>0.7</v>
          </cell>
        </row>
        <row r="14">
          <cell r="A14">
            <v>13</v>
          </cell>
          <cell r="B14" t="str">
            <v>工場ｴﾘｱ（計量・包装・出荷ｿﾞｰﾝ）</v>
          </cell>
          <cell r="C14" t="str">
            <v>同上庇部</v>
          </cell>
          <cell r="D14">
            <v>100</v>
          </cell>
          <cell r="E14">
            <v>9</v>
          </cell>
          <cell r="F14" t="str">
            <v>HF</v>
          </cell>
          <cell r="G14">
            <v>250</v>
          </cell>
          <cell r="H14">
            <v>1</v>
          </cell>
          <cell r="I14">
            <v>20</v>
          </cell>
          <cell r="J14">
            <v>15</v>
          </cell>
          <cell r="K14">
            <v>12.1</v>
          </cell>
          <cell r="L14">
            <v>0</v>
          </cell>
        </row>
        <row r="15">
          <cell r="A15">
            <v>14</v>
          </cell>
          <cell r="B15" t="str">
            <v>工場ｴﾘｱ（計量・包装・出荷ｿﾞｰﾝ）</v>
          </cell>
          <cell r="C15" t="str">
            <v>事務室</v>
          </cell>
          <cell r="D15">
            <v>500</v>
          </cell>
          <cell r="E15">
            <v>6</v>
          </cell>
          <cell r="F15" t="str">
            <v>FL</v>
          </cell>
          <cell r="G15">
            <v>40</v>
          </cell>
          <cell r="H15">
            <v>2</v>
          </cell>
          <cell r="I15">
            <v>6.5</v>
          </cell>
          <cell r="J15">
            <v>10</v>
          </cell>
          <cell r="K15">
            <v>2.4</v>
          </cell>
          <cell r="L15">
            <v>0.7</v>
          </cell>
        </row>
        <row r="16">
          <cell r="A16">
            <v>15</v>
          </cell>
          <cell r="B16" t="str">
            <v>工場ｴﾘｱ（計量・包装・出荷ｿﾞｰﾝ）</v>
          </cell>
          <cell r="C16" t="str">
            <v>受変電・ｺﾝﾌﾟﾚｯｻ室</v>
          </cell>
          <cell r="D16">
            <v>200</v>
          </cell>
          <cell r="E16">
            <v>5</v>
          </cell>
          <cell r="F16" t="str">
            <v>FL</v>
          </cell>
          <cell r="G16">
            <v>40</v>
          </cell>
          <cell r="H16">
            <v>2</v>
          </cell>
          <cell r="I16">
            <v>20</v>
          </cell>
          <cell r="J16">
            <v>10</v>
          </cell>
          <cell r="K16">
            <v>6</v>
          </cell>
          <cell r="L16">
            <v>0</v>
          </cell>
        </row>
        <row r="17">
          <cell r="A17">
            <v>16</v>
          </cell>
          <cell r="B17" t="str">
            <v>倉庫ｴﾘｱ1F</v>
          </cell>
          <cell r="C17" t="str">
            <v>倉庫（常温品）</v>
          </cell>
          <cell r="D17">
            <v>200</v>
          </cell>
          <cell r="E17">
            <v>5</v>
          </cell>
          <cell r="F17" t="str">
            <v>FL</v>
          </cell>
          <cell r="G17">
            <v>40</v>
          </cell>
          <cell r="H17">
            <v>2</v>
          </cell>
          <cell r="I17">
            <v>41.6</v>
          </cell>
          <cell r="J17">
            <v>43.4</v>
          </cell>
          <cell r="K17">
            <v>5</v>
          </cell>
          <cell r="L17">
            <v>0</v>
          </cell>
        </row>
        <row r="18">
          <cell r="A18">
            <v>17</v>
          </cell>
          <cell r="B18" t="str">
            <v>倉庫ｴﾘｱ1F</v>
          </cell>
          <cell r="C18" t="str">
            <v>倉庫（虫発生品）</v>
          </cell>
          <cell r="D18">
            <v>200</v>
          </cell>
          <cell r="E18">
            <v>5</v>
          </cell>
          <cell r="F18" t="str">
            <v>FL</v>
          </cell>
          <cell r="G18">
            <v>40</v>
          </cell>
          <cell r="H18">
            <v>2</v>
          </cell>
          <cell r="I18">
            <v>20.8</v>
          </cell>
          <cell r="J18">
            <v>33.4</v>
          </cell>
          <cell r="K18">
            <v>5</v>
          </cell>
          <cell r="L18">
            <v>0</v>
          </cell>
        </row>
        <row r="19">
          <cell r="A19">
            <v>18</v>
          </cell>
          <cell r="B19" t="str">
            <v>倉庫ｴﾘｱ1F</v>
          </cell>
          <cell r="C19" t="str">
            <v>倉庫（卵）</v>
          </cell>
          <cell r="D19">
            <v>200</v>
          </cell>
          <cell r="E19">
            <v>5</v>
          </cell>
          <cell r="F19" t="str">
            <v>FL</v>
          </cell>
          <cell r="G19">
            <v>40</v>
          </cell>
          <cell r="H19">
            <v>2</v>
          </cell>
          <cell r="I19">
            <v>20.8</v>
          </cell>
          <cell r="J19">
            <v>10</v>
          </cell>
          <cell r="K19">
            <v>3.5</v>
          </cell>
          <cell r="L19">
            <v>0</v>
          </cell>
        </row>
        <row r="20">
          <cell r="A20">
            <v>19</v>
          </cell>
          <cell r="B20" t="str">
            <v>倉庫ｴﾘｱ1F</v>
          </cell>
          <cell r="C20" t="str">
            <v>倉庫（小麦開袋）</v>
          </cell>
          <cell r="D20">
            <v>200</v>
          </cell>
          <cell r="E20">
            <v>5</v>
          </cell>
          <cell r="F20" t="str">
            <v>FL</v>
          </cell>
          <cell r="G20">
            <v>40</v>
          </cell>
          <cell r="H20">
            <v>2</v>
          </cell>
          <cell r="I20">
            <v>26</v>
          </cell>
          <cell r="J20">
            <v>12</v>
          </cell>
          <cell r="K20">
            <v>3.5</v>
          </cell>
          <cell r="L20">
            <v>0</v>
          </cell>
        </row>
        <row r="21">
          <cell r="A21">
            <v>20</v>
          </cell>
          <cell r="B21" t="str">
            <v>倉庫ｴﾘｱ1F</v>
          </cell>
          <cell r="C21" t="str">
            <v>倉庫（冷凍）</v>
          </cell>
          <cell r="D21">
            <v>200</v>
          </cell>
          <cell r="E21">
            <v>5</v>
          </cell>
          <cell r="F21" t="str">
            <v>FL</v>
          </cell>
          <cell r="G21">
            <v>40</v>
          </cell>
          <cell r="H21">
            <v>2</v>
          </cell>
          <cell r="I21">
            <v>9</v>
          </cell>
          <cell r="J21">
            <v>12</v>
          </cell>
          <cell r="K21">
            <v>3.5</v>
          </cell>
          <cell r="L21">
            <v>0</v>
          </cell>
        </row>
        <row r="22">
          <cell r="A22">
            <v>21</v>
          </cell>
          <cell r="B22" t="str">
            <v>倉庫ｴﾘｱ1F</v>
          </cell>
          <cell r="C22" t="str">
            <v>事務室</v>
          </cell>
          <cell r="D22">
            <v>500</v>
          </cell>
          <cell r="E22">
            <v>6</v>
          </cell>
          <cell r="F22" t="str">
            <v>FL</v>
          </cell>
          <cell r="G22">
            <v>40</v>
          </cell>
          <cell r="H22">
            <v>2</v>
          </cell>
          <cell r="I22">
            <v>8</v>
          </cell>
          <cell r="J22">
            <v>12</v>
          </cell>
          <cell r="K22">
            <v>3.5</v>
          </cell>
          <cell r="L22">
            <v>0.7</v>
          </cell>
        </row>
        <row r="23">
          <cell r="A23">
            <v>22</v>
          </cell>
          <cell r="B23" t="str">
            <v>倉庫ｴﾘｱ1F</v>
          </cell>
          <cell r="C23" t="str">
            <v>荷捌きｽﾍﾟｰｽ</v>
          </cell>
          <cell r="D23">
            <v>200</v>
          </cell>
          <cell r="E23">
            <v>5</v>
          </cell>
          <cell r="F23" t="str">
            <v>FL</v>
          </cell>
          <cell r="G23">
            <v>40</v>
          </cell>
          <cell r="H23">
            <v>2</v>
          </cell>
          <cell r="I23">
            <v>11.6</v>
          </cell>
          <cell r="J23">
            <v>62.4</v>
          </cell>
          <cell r="K23">
            <v>5</v>
          </cell>
          <cell r="L23">
            <v>0</v>
          </cell>
        </row>
        <row r="24">
          <cell r="A24">
            <v>23</v>
          </cell>
          <cell r="B24" t="str">
            <v>倉庫ｴﾘｱ1F</v>
          </cell>
          <cell r="C24" t="str">
            <v>廊下</v>
          </cell>
          <cell r="D24">
            <v>150</v>
          </cell>
          <cell r="E24">
            <v>6</v>
          </cell>
          <cell r="F24" t="str">
            <v>FL</v>
          </cell>
          <cell r="G24">
            <v>40</v>
          </cell>
          <cell r="H24">
            <v>2</v>
          </cell>
          <cell r="I24">
            <v>4</v>
          </cell>
          <cell r="J24">
            <v>55</v>
          </cell>
          <cell r="K24">
            <v>3.5</v>
          </cell>
          <cell r="L24">
            <v>0</v>
          </cell>
        </row>
        <row r="25">
          <cell r="A25">
            <v>24</v>
          </cell>
          <cell r="B25" t="str">
            <v>倉庫ｴﾘｱ2F</v>
          </cell>
          <cell r="C25" t="str">
            <v>倉庫（ﾚｰｽﾞﾝ）</v>
          </cell>
          <cell r="D25">
            <v>200</v>
          </cell>
          <cell r="E25">
            <v>5</v>
          </cell>
          <cell r="F25" t="str">
            <v>FL</v>
          </cell>
          <cell r="G25">
            <v>40</v>
          </cell>
          <cell r="H25">
            <v>2</v>
          </cell>
          <cell r="I25">
            <v>8</v>
          </cell>
          <cell r="J25">
            <v>12</v>
          </cell>
          <cell r="K25">
            <v>3.5</v>
          </cell>
          <cell r="L25">
            <v>0</v>
          </cell>
        </row>
        <row r="26">
          <cell r="A26">
            <v>25</v>
          </cell>
          <cell r="B26" t="str">
            <v>倉庫ｴﾘｱ2F</v>
          </cell>
          <cell r="C26" t="str">
            <v>倉庫（ﾚｰｽﾞﾝ加工）</v>
          </cell>
          <cell r="D26">
            <v>200</v>
          </cell>
          <cell r="E26">
            <v>5</v>
          </cell>
          <cell r="F26" t="str">
            <v>FL</v>
          </cell>
          <cell r="G26">
            <v>40</v>
          </cell>
          <cell r="H26">
            <v>2</v>
          </cell>
          <cell r="I26">
            <v>9.5</v>
          </cell>
          <cell r="J26">
            <v>12</v>
          </cell>
          <cell r="K26">
            <v>3.5</v>
          </cell>
          <cell r="L26">
            <v>0</v>
          </cell>
        </row>
        <row r="27">
          <cell r="A27">
            <v>26</v>
          </cell>
          <cell r="B27" t="str">
            <v>倉庫ｴﾘｱ2F</v>
          </cell>
          <cell r="C27" t="str">
            <v>倉庫（ｸﾙﾐ加工）</v>
          </cell>
          <cell r="D27">
            <v>200</v>
          </cell>
          <cell r="E27">
            <v>5</v>
          </cell>
          <cell r="F27" t="str">
            <v>FL</v>
          </cell>
          <cell r="G27">
            <v>40</v>
          </cell>
          <cell r="H27">
            <v>2</v>
          </cell>
          <cell r="I27">
            <v>9.5</v>
          </cell>
          <cell r="J27">
            <v>12</v>
          </cell>
          <cell r="K27">
            <v>3.5</v>
          </cell>
          <cell r="L27">
            <v>0</v>
          </cell>
        </row>
        <row r="28">
          <cell r="A28">
            <v>27</v>
          </cell>
          <cell r="B28" t="str">
            <v>倉庫ｴﾘｱ2F</v>
          </cell>
          <cell r="C28" t="str">
            <v>倉庫（ｸﾙﾐ）</v>
          </cell>
          <cell r="D28">
            <v>200</v>
          </cell>
          <cell r="E28">
            <v>5</v>
          </cell>
          <cell r="F28" t="str">
            <v>FL</v>
          </cell>
          <cell r="G28">
            <v>40</v>
          </cell>
          <cell r="H28">
            <v>2</v>
          </cell>
          <cell r="I28">
            <v>13.5</v>
          </cell>
          <cell r="J28">
            <v>12</v>
          </cell>
          <cell r="K28">
            <v>3.5</v>
          </cell>
          <cell r="L28">
            <v>0</v>
          </cell>
        </row>
        <row r="29">
          <cell r="A29">
            <v>28</v>
          </cell>
          <cell r="B29" t="str">
            <v>倉庫ｴﾘｱ2F</v>
          </cell>
          <cell r="C29" t="str">
            <v>倉庫（ﾁｮｺﾚｰﾄ）</v>
          </cell>
          <cell r="D29">
            <v>200</v>
          </cell>
          <cell r="E29">
            <v>5</v>
          </cell>
          <cell r="F29" t="str">
            <v>FL</v>
          </cell>
          <cell r="G29">
            <v>40</v>
          </cell>
          <cell r="H29">
            <v>2</v>
          </cell>
          <cell r="I29">
            <v>5.5</v>
          </cell>
          <cell r="J29">
            <v>12</v>
          </cell>
          <cell r="K29">
            <v>3.5</v>
          </cell>
          <cell r="L29">
            <v>0</v>
          </cell>
        </row>
        <row r="30">
          <cell r="A30">
            <v>29</v>
          </cell>
          <cell r="B30" t="str">
            <v>倉庫ｴﾘｱ2F</v>
          </cell>
          <cell r="C30" t="str">
            <v>休憩室</v>
          </cell>
          <cell r="D30">
            <v>200</v>
          </cell>
          <cell r="E30">
            <v>6</v>
          </cell>
          <cell r="F30" t="str">
            <v>FL</v>
          </cell>
          <cell r="G30">
            <v>40</v>
          </cell>
          <cell r="H30">
            <v>2</v>
          </cell>
          <cell r="I30">
            <v>7</v>
          </cell>
          <cell r="J30">
            <v>4.5</v>
          </cell>
          <cell r="K30">
            <v>3.5</v>
          </cell>
          <cell r="L30">
            <v>0.7</v>
          </cell>
        </row>
        <row r="31">
          <cell r="A31">
            <v>30</v>
          </cell>
          <cell r="B31" t="str">
            <v>倉庫ｴﾘｱ2F</v>
          </cell>
          <cell r="C31" t="str">
            <v>事務室</v>
          </cell>
          <cell r="D31">
            <v>500</v>
          </cell>
          <cell r="E31">
            <v>6</v>
          </cell>
          <cell r="F31" t="str">
            <v>FL</v>
          </cell>
          <cell r="G31">
            <v>40</v>
          </cell>
          <cell r="H31">
            <v>2</v>
          </cell>
          <cell r="I31">
            <v>20.8</v>
          </cell>
          <cell r="J31">
            <v>10</v>
          </cell>
          <cell r="K31">
            <v>3.5</v>
          </cell>
          <cell r="L31">
            <v>0.7</v>
          </cell>
        </row>
        <row r="32">
          <cell r="A32">
            <v>31</v>
          </cell>
          <cell r="B32" t="str">
            <v>倉庫ｴﾘｱ2F</v>
          </cell>
          <cell r="C32" t="str">
            <v>廊下</v>
          </cell>
          <cell r="D32">
            <v>150</v>
          </cell>
          <cell r="E32">
            <v>6</v>
          </cell>
          <cell r="F32" t="str">
            <v>FL</v>
          </cell>
          <cell r="G32">
            <v>40</v>
          </cell>
          <cell r="H32">
            <v>2</v>
          </cell>
          <cell r="I32">
            <v>55</v>
          </cell>
          <cell r="J32">
            <v>4</v>
          </cell>
          <cell r="K32">
            <v>3.5</v>
          </cell>
          <cell r="L32">
            <v>0</v>
          </cell>
        </row>
        <row r="33">
          <cell r="A33">
            <v>32</v>
          </cell>
          <cell r="B33" t="str">
            <v>事務所ｴﾘｱ1F</v>
          </cell>
          <cell r="C33" t="str">
            <v>事務室</v>
          </cell>
          <cell r="D33">
            <v>500</v>
          </cell>
          <cell r="E33">
            <v>6</v>
          </cell>
          <cell r="F33" t="str">
            <v>FL</v>
          </cell>
          <cell r="G33">
            <v>40</v>
          </cell>
          <cell r="H33">
            <v>2</v>
          </cell>
          <cell r="I33">
            <v>23.5</v>
          </cell>
          <cell r="J33">
            <v>14</v>
          </cell>
          <cell r="K33">
            <v>2.4</v>
          </cell>
          <cell r="L33">
            <v>0.7</v>
          </cell>
        </row>
        <row r="34">
          <cell r="A34">
            <v>33</v>
          </cell>
          <cell r="B34" t="str">
            <v>事務所ｴﾘｱ1F</v>
          </cell>
          <cell r="C34" t="str">
            <v>電算室</v>
          </cell>
          <cell r="D34">
            <v>500</v>
          </cell>
          <cell r="E34">
            <v>1</v>
          </cell>
          <cell r="F34" t="str">
            <v>FL</v>
          </cell>
          <cell r="G34">
            <v>40</v>
          </cell>
          <cell r="H34">
            <v>2</v>
          </cell>
          <cell r="I34">
            <v>14</v>
          </cell>
          <cell r="J34">
            <v>6</v>
          </cell>
          <cell r="K34">
            <v>2.4</v>
          </cell>
          <cell r="L34">
            <v>0.7</v>
          </cell>
        </row>
        <row r="35">
          <cell r="A35">
            <v>34</v>
          </cell>
          <cell r="B35" t="str">
            <v>事務所ｴﾘｱ1F</v>
          </cell>
          <cell r="C35" t="str">
            <v>操作室</v>
          </cell>
          <cell r="D35">
            <v>300</v>
          </cell>
          <cell r="E35">
            <v>1</v>
          </cell>
          <cell r="F35" t="str">
            <v>FL</v>
          </cell>
          <cell r="G35">
            <v>40</v>
          </cell>
          <cell r="H35">
            <v>2</v>
          </cell>
          <cell r="I35">
            <v>7.5</v>
          </cell>
          <cell r="J35">
            <v>6</v>
          </cell>
          <cell r="K35">
            <v>2.4</v>
          </cell>
          <cell r="L35">
            <v>0.7</v>
          </cell>
        </row>
        <row r="36">
          <cell r="A36">
            <v>35</v>
          </cell>
          <cell r="B36" t="str">
            <v>事務所ｴﾘｱ1F</v>
          </cell>
          <cell r="C36" t="str">
            <v>湯沸し室</v>
          </cell>
          <cell r="D36">
            <v>200</v>
          </cell>
          <cell r="E36">
            <v>6</v>
          </cell>
          <cell r="F36" t="str">
            <v>FL</v>
          </cell>
          <cell r="G36">
            <v>40</v>
          </cell>
          <cell r="H36">
            <v>2</v>
          </cell>
          <cell r="I36">
            <v>5</v>
          </cell>
          <cell r="J36">
            <v>3</v>
          </cell>
          <cell r="K36">
            <v>2.4</v>
          </cell>
          <cell r="L36">
            <v>0.7</v>
          </cell>
        </row>
        <row r="37">
          <cell r="A37">
            <v>36</v>
          </cell>
          <cell r="B37" t="str">
            <v>事務所ｴﾘｱ1F</v>
          </cell>
          <cell r="C37" t="str">
            <v>階段室</v>
          </cell>
          <cell r="D37">
            <v>100</v>
          </cell>
          <cell r="E37">
            <v>6</v>
          </cell>
          <cell r="F37" t="str">
            <v>FL</v>
          </cell>
          <cell r="G37">
            <v>40</v>
          </cell>
          <cell r="H37">
            <v>2</v>
          </cell>
          <cell r="I37">
            <v>7</v>
          </cell>
          <cell r="J37">
            <v>3</v>
          </cell>
          <cell r="K37">
            <v>2.4</v>
          </cell>
          <cell r="L37">
            <v>0</v>
          </cell>
        </row>
        <row r="38">
          <cell r="A38">
            <v>37</v>
          </cell>
          <cell r="B38" t="str">
            <v>事務所ｴﾘｱ1F</v>
          </cell>
          <cell r="C38" t="str">
            <v>玄関（外部）</v>
          </cell>
          <cell r="D38">
            <v>100</v>
          </cell>
          <cell r="E38">
            <v>12</v>
          </cell>
          <cell r="F38" t="str">
            <v>IL</v>
          </cell>
          <cell r="G38">
            <v>150</v>
          </cell>
          <cell r="H38">
            <v>1</v>
          </cell>
          <cell r="I38">
            <v>4</v>
          </cell>
          <cell r="J38">
            <v>3</v>
          </cell>
          <cell r="K38">
            <v>2.8</v>
          </cell>
          <cell r="L38">
            <v>0</v>
          </cell>
        </row>
        <row r="39">
          <cell r="A39">
            <v>38</v>
          </cell>
          <cell r="B39" t="str">
            <v>事務所ｴﾘｱ1F</v>
          </cell>
          <cell r="C39" t="str">
            <v>風除室</v>
          </cell>
          <cell r="D39">
            <v>100</v>
          </cell>
          <cell r="E39">
            <v>14</v>
          </cell>
          <cell r="F39" t="str">
            <v>FPL</v>
          </cell>
          <cell r="G39">
            <v>27</v>
          </cell>
          <cell r="H39">
            <v>1</v>
          </cell>
          <cell r="I39">
            <v>5</v>
          </cell>
          <cell r="J39">
            <v>3.5</v>
          </cell>
          <cell r="K39">
            <v>2.4</v>
          </cell>
          <cell r="L39">
            <v>0</v>
          </cell>
        </row>
        <row r="40">
          <cell r="A40">
            <v>39</v>
          </cell>
          <cell r="B40" t="str">
            <v>事務所ｴﾘｱ1F</v>
          </cell>
          <cell r="C40" t="str">
            <v>下足室</v>
          </cell>
          <cell r="D40">
            <v>100</v>
          </cell>
          <cell r="E40">
            <v>6</v>
          </cell>
          <cell r="F40" t="str">
            <v>FL</v>
          </cell>
          <cell r="G40">
            <v>40</v>
          </cell>
          <cell r="H40">
            <v>2</v>
          </cell>
          <cell r="I40">
            <v>3.5</v>
          </cell>
          <cell r="J40">
            <v>12</v>
          </cell>
          <cell r="K40">
            <v>2.4</v>
          </cell>
          <cell r="L40">
            <v>0</v>
          </cell>
        </row>
        <row r="41">
          <cell r="A41">
            <v>40</v>
          </cell>
          <cell r="B41" t="str">
            <v>事務所ｴﾘｱ1F</v>
          </cell>
          <cell r="C41" t="str">
            <v>ﾎｰﾙ</v>
          </cell>
          <cell r="D41">
            <v>150</v>
          </cell>
          <cell r="E41">
            <v>14</v>
          </cell>
          <cell r="F41" t="str">
            <v>FPL</v>
          </cell>
          <cell r="G41">
            <v>27</v>
          </cell>
          <cell r="H41">
            <v>1</v>
          </cell>
          <cell r="I41">
            <v>5</v>
          </cell>
          <cell r="J41">
            <v>7</v>
          </cell>
          <cell r="K41">
            <v>2.4</v>
          </cell>
          <cell r="L41">
            <v>0</v>
          </cell>
        </row>
        <row r="42">
          <cell r="A42">
            <v>41</v>
          </cell>
          <cell r="B42" t="str">
            <v>事務所ｴﾘｱ1F</v>
          </cell>
          <cell r="C42" t="str">
            <v>廊下</v>
          </cell>
          <cell r="D42">
            <v>150</v>
          </cell>
          <cell r="E42">
            <v>14</v>
          </cell>
          <cell r="F42" t="str">
            <v>FPL</v>
          </cell>
          <cell r="G42">
            <v>27</v>
          </cell>
          <cell r="H42">
            <v>1</v>
          </cell>
          <cell r="I42">
            <v>2</v>
          </cell>
          <cell r="J42">
            <v>20</v>
          </cell>
          <cell r="K42">
            <v>2.2000000000000002</v>
          </cell>
          <cell r="L42">
            <v>0</v>
          </cell>
        </row>
        <row r="43">
          <cell r="A43">
            <v>42</v>
          </cell>
          <cell r="B43" t="str">
            <v>事務所ｴﾘｱ1F</v>
          </cell>
          <cell r="C43" t="str">
            <v>品質管理室</v>
          </cell>
          <cell r="D43">
            <v>500</v>
          </cell>
          <cell r="E43">
            <v>14</v>
          </cell>
          <cell r="F43" t="str">
            <v>FPL</v>
          </cell>
          <cell r="G43">
            <v>27</v>
          </cell>
          <cell r="H43">
            <v>1</v>
          </cell>
          <cell r="I43">
            <v>8.5</v>
          </cell>
          <cell r="J43">
            <v>6</v>
          </cell>
          <cell r="K43">
            <v>2.4</v>
          </cell>
          <cell r="L43">
            <v>0.7</v>
          </cell>
        </row>
        <row r="44">
          <cell r="A44">
            <v>43</v>
          </cell>
          <cell r="B44" t="str">
            <v>事務所ｴﾘｱ1F</v>
          </cell>
          <cell r="C44" t="str">
            <v>男子ﾛｯｶｰ</v>
          </cell>
          <cell r="D44">
            <v>150</v>
          </cell>
          <cell r="E44">
            <v>14</v>
          </cell>
          <cell r="F44" t="str">
            <v>FPL</v>
          </cell>
          <cell r="G44">
            <v>27</v>
          </cell>
          <cell r="H44">
            <v>1</v>
          </cell>
          <cell r="I44">
            <v>5</v>
          </cell>
          <cell r="J44">
            <v>6</v>
          </cell>
          <cell r="K44">
            <v>2.4</v>
          </cell>
          <cell r="L44">
            <v>0</v>
          </cell>
        </row>
        <row r="45">
          <cell r="A45">
            <v>44</v>
          </cell>
          <cell r="B45" t="str">
            <v>事務所ｴﾘｱ1F</v>
          </cell>
          <cell r="C45" t="str">
            <v>女子ﾛｯｶｰ</v>
          </cell>
          <cell r="D45">
            <v>150</v>
          </cell>
          <cell r="E45">
            <v>14</v>
          </cell>
          <cell r="F45" t="str">
            <v>FPL</v>
          </cell>
          <cell r="G45">
            <v>27</v>
          </cell>
          <cell r="H45">
            <v>1</v>
          </cell>
          <cell r="I45">
            <v>3.5</v>
          </cell>
          <cell r="J45">
            <v>6</v>
          </cell>
          <cell r="K45">
            <v>2.4</v>
          </cell>
          <cell r="L45">
            <v>0</v>
          </cell>
        </row>
        <row r="46">
          <cell r="A46">
            <v>45</v>
          </cell>
          <cell r="B46" t="str">
            <v>事務所ｴﾘｱ1F</v>
          </cell>
          <cell r="C46" t="str">
            <v>見学者ﾎｰﾙ</v>
          </cell>
          <cell r="D46">
            <v>300</v>
          </cell>
          <cell r="E46">
            <v>14</v>
          </cell>
          <cell r="F46" t="str">
            <v>FPL</v>
          </cell>
          <cell r="G46">
            <v>27</v>
          </cell>
          <cell r="H46">
            <v>1</v>
          </cell>
          <cell r="I46">
            <v>8.5</v>
          </cell>
          <cell r="J46">
            <v>12</v>
          </cell>
          <cell r="K46">
            <v>2.4</v>
          </cell>
          <cell r="L46">
            <v>0</v>
          </cell>
        </row>
        <row r="47">
          <cell r="A47">
            <v>46</v>
          </cell>
          <cell r="B47" t="str">
            <v>事務所ｴﾘｱ1F</v>
          </cell>
          <cell r="C47" t="str">
            <v>ﾊﾟﾝﾄﾘｰ</v>
          </cell>
          <cell r="D47">
            <v>200</v>
          </cell>
          <cell r="E47">
            <v>14</v>
          </cell>
          <cell r="F47" t="str">
            <v>FPL</v>
          </cell>
          <cell r="G47">
            <v>27</v>
          </cell>
          <cell r="H47">
            <v>1</v>
          </cell>
          <cell r="I47">
            <v>1.8</v>
          </cell>
          <cell r="J47">
            <v>5</v>
          </cell>
          <cell r="K47">
            <v>2.2000000000000002</v>
          </cell>
          <cell r="L47">
            <v>0</v>
          </cell>
        </row>
        <row r="48">
          <cell r="A48">
            <v>47</v>
          </cell>
          <cell r="B48" t="str">
            <v>事務所ｴﾘｱ1F</v>
          </cell>
          <cell r="C48" t="str">
            <v>会議室</v>
          </cell>
          <cell r="D48">
            <v>500</v>
          </cell>
          <cell r="E48">
            <v>14</v>
          </cell>
          <cell r="F48" t="str">
            <v>FPL</v>
          </cell>
          <cell r="G48">
            <v>27</v>
          </cell>
          <cell r="H48">
            <v>1</v>
          </cell>
          <cell r="I48">
            <v>7.5</v>
          </cell>
          <cell r="J48">
            <v>10</v>
          </cell>
          <cell r="K48">
            <v>2.4</v>
          </cell>
          <cell r="L48">
            <v>0.7</v>
          </cell>
        </row>
        <row r="49">
          <cell r="A49">
            <v>48</v>
          </cell>
          <cell r="B49" t="str">
            <v>事務所ｴﾘｱ1F</v>
          </cell>
          <cell r="C49" t="str">
            <v>男子便所</v>
          </cell>
          <cell r="D49">
            <v>100</v>
          </cell>
          <cell r="E49">
            <v>14</v>
          </cell>
          <cell r="F49" t="str">
            <v>FPL</v>
          </cell>
          <cell r="G49">
            <v>27</v>
          </cell>
          <cell r="H49">
            <v>1</v>
          </cell>
          <cell r="I49">
            <v>4</v>
          </cell>
          <cell r="J49">
            <v>4.8</v>
          </cell>
          <cell r="K49">
            <v>2.2000000000000002</v>
          </cell>
          <cell r="L49">
            <v>0</v>
          </cell>
        </row>
        <row r="50">
          <cell r="A50">
            <v>49</v>
          </cell>
          <cell r="B50" t="str">
            <v>事務所ｴﾘｱ1F</v>
          </cell>
          <cell r="C50" t="str">
            <v>女子便所</v>
          </cell>
          <cell r="D50">
            <v>100</v>
          </cell>
          <cell r="E50">
            <v>14</v>
          </cell>
          <cell r="F50" t="str">
            <v>FPL</v>
          </cell>
          <cell r="G50">
            <v>27</v>
          </cell>
          <cell r="H50">
            <v>1</v>
          </cell>
          <cell r="I50">
            <v>3</v>
          </cell>
          <cell r="J50">
            <v>4.8</v>
          </cell>
          <cell r="K50">
            <v>2.2000000000000002</v>
          </cell>
          <cell r="L50">
            <v>0</v>
          </cell>
        </row>
        <row r="51">
          <cell r="A51">
            <v>50</v>
          </cell>
          <cell r="B51" t="str">
            <v>事務所ｴﾘｱ1F</v>
          </cell>
          <cell r="C51" t="str">
            <v>階段室</v>
          </cell>
          <cell r="D51">
            <v>100</v>
          </cell>
          <cell r="E51">
            <v>14</v>
          </cell>
          <cell r="F51" t="str">
            <v>FPL</v>
          </cell>
          <cell r="G51">
            <v>27</v>
          </cell>
          <cell r="H51">
            <v>1</v>
          </cell>
          <cell r="I51">
            <v>7</v>
          </cell>
          <cell r="J51">
            <v>3</v>
          </cell>
          <cell r="K51">
            <v>2.4</v>
          </cell>
          <cell r="L51">
            <v>0</v>
          </cell>
        </row>
        <row r="52">
          <cell r="A52">
            <v>51</v>
          </cell>
          <cell r="B52" t="str">
            <v>事務所ｴﾘｱ2F</v>
          </cell>
          <cell r="C52" t="str">
            <v>事務室</v>
          </cell>
          <cell r="D52">
            <v>500</v>
          </cell>
          <cell r="E52">
            <v>6</v>
          </cell>
          <cell r="F52" t="str">
            <v>FL</v>
          </cell>
          <cell r="G52">
            <v>40</v>
          </cell>
          <cell r="H52">
            <v>2</v>
          </cell>
          <cell r="I52">
            <v>7.5</v>
          </cell>
          <cell r="J52">
            <v>12</v>
          </cell>
          <cell r="K52">
            <v>2.4</v>
          </cell>
          <cell r="L52">
            <v>0.7</v>
          </cell>
        </row>
        <row r="53">
          <cell r="A53">
            <v>52</v>
          </cell>
          <cell r="B53" t="str">
            <v>事務所ｴﾘｱ2F</v>
          </cell>
          <cell r="C53" t="str">
            <v>事務室（総合開発室）</v>
          </cell>
          <cell r="D53">
            <v>500</v>
          </cell>
          <cell r="E53">
            <v>6</v>
          </cell>
          <cell r="F53" t="str">
            <v>FL</v>
          </cell>
          <cell r="G53">
            <v>40</v>
          </cell>
          <cell r="H53">
            <v>2</v>
          </cell>
          <cell r="I53">
            <v>16</v>
          </cell>
          <cell r="J53">
            <v>12</v>
          </cell>
          <cell r="K53">
            <v>2.4</v>
          </cell>
          <cell r="L53">
            <v>0.7</v>
          </cell>
        </row>
        <row r="54">
          <cell r="A54">
            <v>53</v>
          </cell>
          <cell r="B54" t="str">
            <v>事務所ｴﾘｱ2F</v>
          </cell>
          <cell r="C54" t="str">
            <v>役員室1</v>
          </cell>
          <cell r="D54">
            <v>500</v>
          </cell>
          <cell r="E54">
            <v>1</v>
          </cell>
          <cell r="F54" t="str">
            <v>FL</v>
          </cell>
          <cell r="G54">
            <v>40</v>
          </cell>
          <cell r="H54">
            <v>2</v>
          </cell>
          <cell r="I54">
            <v>4</v>
          </cell>
          <cell r="J54">
            <v>5.5</v>
          </cell>
          <cell r="K54">
            <v>2.4</v>
          </cell>
          <cell r="L54">
            <v>0.7</v>
          </cell>
        </row>
        <row r="55">
          <cell r="A55">
            <v>54</v>
          </cell>
          <cell r="B55" t="str">
            <v>事務所ｴﾘｱ2F</v>
          </cell>
          <cell r="C55" t="str">
            <v>役員室2</v>
          </cell>
          <cell r="D55">
            <v>500</v>
          </cell>
          <cell r="E55">
            <v>1</v>
          </cell>
          <cell r="F55" t="str">
            <v>FL</v>
          </cell>
          <cell r="G55">
            <v>40</v>
          </cell>
          <cell r="H55">
            <v>2</v>
          </cell>
          <cell r="I55">
            <v>4.2</v>
          </cell>
          <cell r="J55">
            <v>7.5</v>
          </cell>
          <cell r="K55">
            <v>2.4</v>
          </cell>
          <cell r="L55">
            <v>0.7</v>
          </cell>
        </row>
        <row r="56">
          <cell r="A56">
            <v>55</v>
          </cell>
          <cell r="B56" t="str">
            <v>事務所ｴﾘｱ2F</v>
          </cell>
          <cell r="C56" t="str">
            <v>応接室</v>
          </cell>
          <cell r="D56">
            <v>300</v>
          </cell>
          <cell r="E56">
            <v>1</v>
          </cell>
          <cell r="F56" t="str">
            <v>FL</v>
          </cell>
          <cell r="G56">
            <v>40</v>
          </cell>
          <cell r="H56">
            <v>2</v>
          </cell>
          <cell r="I56">
            <v>4.2</v>
          </cell>
          <cell r="J56">
            <v>6.5</v>
          </cell>
          <cell r="K56">
            <v>2.4</v>
          </cell>
          <cell r="L56">
            <v>0.7</v>
          </cell>
        </row>
        <row r="57">
          <cell r="A57">
            <v>56</v>
          </cell>
          <cell r="B57" t="str">
            <v>事務所ｴﾘｱ2F</v>
          </cell>
          <cell r="C57" t="str">
            <v>ﾛﾋﾞｰ</v>
          </cell>
          <cell r="D57">
            <v>100</v>
          </cell>
          <cell r="E57">
            <v>1</v>
          </cell>
          <cell r="F57" t="str">
            <v>FL</v>
          </cell>
          <cell r="G57">
            <v>40</v>
          </cell>
          <cell r="H57">
            <v>2</v>
          </cell>
          <cell r="I57">
            <v>4.2</v>
          </cell>
          <cell r="J57">
            <v>8.5</v>
          </cell>
          <cell r="K57">
            <v>2.4</v>
          </cell>
          <cell r="L57">
            <v>0</v>
          </cell>
        </row>
        <row r="58">
          <cell r="A58">
            <v>57</v>
          </cell>
          <cell r="B58" t="str">
            <v>事務所ｴﾘｱ2F</v>
          </cell>
          <cell r="C58" t="str">
            <v>湯沸し室</v>
          </cell>
          <cell r="D58">
            <v>200</v>
          </cell>
          <cell r="E58">
            <v>6</v>
          </cell>
          <cell r="F58" t="str">
            <v>FL</v>
          </cell>
          <cell r="G58">
            <v>40</v>
          </cell>
          <cell r="H58">
            <v>2</v>
          </cell>
          <cell r="I58">
            <v>3</v>
          </cell>
          <cell r="J58">
            <v>5</v>
          </cell>
          <cell r="K58">
            <v>2.2000000000000002</v>
          </cell>
          <cell r="L58">
            <v>0.7</v>
          </cell>
        </row>
        <row r="59">
          <cell r="A59">
            <v>58</v>
          </cell>
          <cell r="B59" t="str">
            <v>事務所ｴﾘｱ2F</v>
          </cell>
          <cell r="C59" t="str">
            <v>会議室1</v>
          </cell>
          <cell r="D59">
            <v>500</v>
          </cell>
          <cell r="E59">
            <v>1</v>
          </cell>
          <cell r="F59" t="str">
            <v>FL</v>
          </cell>
          <cell r="G59">
            <v>40</v>
          </cell>
          <cell r="H59">
            <v>2</v>
          </cell>
          <cell r="I59">
            <v>9</v>
          </cell>
          <cell r="J59">
            <v>6</v>
          </cell>
          <cell r="K59">
            <v>2.4</v>
          </cell>
          <cell r="L59">
            <v>0.7</v>
          </cell>
        </row>
        <row r="60">
          <cell r="A60">
            <v>59</v>
          </cell>
          <cell r="B60" t="str">
            <v>事務所ｴﾘｱ2F</v>
          </cell>
          <cell r="C60" t="str">
            <v>会議室2</v>
          </cell>
          <cell r="D60">
            <v>500</v>
          </cell>
          <cell r="E60">
            <v>1</v>
          </cell>
          <cell r="F60" t="str">
            <v>FL</v>
          </cell>
          <cell r="G60">
            <v>40</v>
          </cell>
          <cell r="H60">
            <v>2</v>
          </cell>
          <cell r="I60">
            <v>7.4</v>
          </cell>
          <cell r="J60">
            <v>6</v>
          </cell>
          <cell r="K60">
            <v>2.4</v>
          </cell>
          <cell r="L60">
            <v>0.7</v>
          </cell>
        </row>
        <row r="61">
          <cell r="A61">
            <v>60</v>
          </cell>
          <cell r="B61" t="str">
            <v>事務所ｴﾘｱ2F</v>
          </cell>
          <cell r="C61" t="str">
            <v>会議室3</v>
          </cell>
          <cell r="D61">
            <v>500</v>
          </cell>
          <cell r="E61">
            <v>1</v>
          </cell>
          <cell r="F61" t="str">
            <v>FL</v>
          </cell>
          <cell r="G61">
            <v>40</v>
          </cell>
          <cell r="H61">
            <v>2</v>
          </cell>
          <cell r="I61">
            <v>8.5</v>
          </cell>
          <cell r="J61">
            <v>6</v>
          </cell>
          <cell r="K61">
            <v>2.4</v>
          </cell>
          <cell r="L61">
            <v>0.7</v>
          </cell>
        </row>
        <row r="62">
          <cell r="A62">
            <v>61</v>
          </cell>
          <cell r="B62" t="str">
            <v>事務所ｴﾘｱ2F</v>
          </cell>
          <cell r="C62" t="str">
            <v>会議室4</v>
          </cell>
          <cell r="D62">
            <v>500</v>
          </cell>
          <cell r="E62">
            <v>1</v>
          </cell>
          <cell r="F62" t="str">
            <v>FL</v>
          </cell>
          <cell r="G62">
            <v>40</v>
          </cell>
          <cell r="H62">
            <v>2</v>
          </cell>
          <cell r="I62">
            <v>4.5</v>
          </cell>
          <cell r="J62">
            <v>6</v>
          </cell>
          <cell r="K62">
            <v>2.4</v>
          </cell>
          <cell r="L62">
            <v>0.7</v>
          </cell>
        </row>
        <row r="63">
          <cell r="A63">
            <v>62</v>
          </cell>
          <cell r="B63" t="str">
            <v>事務所ｴﾘｱ2F</v>
          </cell>
          <cell r="C63" t="str">
            <v>会議室5</v>
          </cell>
          <cell r="D63">
            <v>500</v>
          </cell>
          <cell r="E63">
            <v>1</v>
          </cell>
          <cell r="F63" t="str">
            <v>FL</v>
          </cell>
          <cell r="G63">
            <v>40</v>
          </cell>
          <cell r="H63">
            <v>2</v>
          </cell>
          <cell r="I63">
            <v>4.2</v>
          </cell>
          <cell r="J63">
            <v>6</v>
          </cell>
          <cell r="K63">
            <v>2.4</v>
          </cell>
          <cell r="L63">
            <v>0.7</v>
          </cell>
        </row>
        <row r="64">
          <cell r="A64">
            <v>63</v>
          </cell>
          <cell r="B64" t="str">
            <v>事務所ｴﾘｱ2F</v>
          </cell>
          <cell r="C64" t="str">
            <v>食堂</v>
          </cell>
          <cell r="D64">
            <v>300</v>
          </cell>
          <cell r="E64">
            <v>6</v>
          </cell>
          <cell r="F64" t="str">
            <v>FL</v>
          </cell>
          <cell r="G64">
            <v>40</v>
          </cell>
          <cell r="H64">
            <v>2</v>
          </cell>
          <cell r="I64">
            <v>16</v>
          </cell>
          <cell r="J64">
            <v>10</v>
          </cell>
          <cell r="K64">
            <v>2.4</v>
          </cell>
          <cell r="L64">
            <v>0.7</v>
          </cell>
        </row>
        <row r="65">
          <cell r="A65">
            <v>64</v>
          </cell>
          <cell r="B65" t="str">
            <v>事務所ｴﾘｱ2F</v>
          </cell>
          <cell r="C65" t="str">
            <v>ﾊﾟﾝﾄﾘｰ</v>
          </cell>
          <cell r="D65">
            <v>200</v>
          </cell>
          <cell r="E65">
            <v>6</v>
          </cell>
          <cell r="F65" t="str">
            <v>FL</v>
          </cell>
          <cell r="G65">
            <v>40</v>
          </cell>
          <cell r="H65">
            <v>2</v>
          </cell>
          <cell r="I65">
            <v>2</v>
          </cell>
          <cell r="J65">
            <v>8.5</v>
          </cell>
          <cell r="K65">
            <v>2.2000000000000002</v>
          </cell>
          <cell r="L65">
            <v>0</v>
          </cell>
        </row>
        <row r="66">
          <cell r="A66">
            <v>65</v>
          </cell>
          <cell r="B66" t="str">
            <v>事務所ｴﾘｱ2F</v>
          </cell>
          <cell r="C66" t="str">
            <v>男子便所</v>
          </cell>
          <cell r="D66">
            <v>100</v>
          </cell>
          <cell r="E66">
            <v>14</v>
          </cell>
          <cell r="F66" t="str">
            <v>FPL</v>
          </cell>
          <cell r="G66">
            <v>27</v>
          </cell>
          <cell r="H66">
            <v>1</v>
          </cell>
          <cell r="I66">
            <v>4</v>
          </cell>
          <cell r="J66">
            <v>4.8</v>
          </cell>
          <cell r="K66">
            <v>2.2000000000000002</v>
          </cell>
          <cell r="L66">
            <v>0</v>
          </cell>
        </row>
        <row r="67">
          <cell r="A67">
            <v>66</v>
          </cell>
          <cell r="B67" t="str">
            <v>事務所ｴﾘｱ2F</v>
          </cell>
          <cell r="C67" t="str">
            <v>女子便所</v>
          </cell>
          <cell r="D67">
            <v>100</v>
          </cell>
          <cell r="E67">
            <v>14</v>
          </cell>
          <cell r="F67" t="str">
            <v>FPL</v>
          </cell>
          <cell r="G67">
            <v>27</v>
          </cell>
          <cell r="H67">
            <v>1</v>
          </cell>
          <cell r="I67">
            <v>2.8</v>
          </cell>
          <cell r="J67">
            <v>4.8</v>
          </cell>
          <cell r="K67">
            <v>2.2000000000000002</v>
          </cell>
          <cell r="L67">
            <v>0</v>
          </cell>
        </row>
        <row r="68">
          <cell r="A68">
            <v>67</v>
          </cell>
          <cell r="B68" t="str">
            <v>事務所ｴﾘｱ2F</v>
          </cell>
          <cell r="C68" t="str">
            <v>階段室1</v>
          </cell>
          <cell r="D68">
            <v>100</v>
          </cell>
          <cell r="E68">
            <v>6</v>
          </cell>
          <cell r="F68" t="str">
            <v>FL</v>
          </cell>
          <cell r="G68">
            <v>40</v>
          </cell>
          <cell r="H68">
            <v>2</v>
          </cell>
          <cell r="I68">
            <v>7</v>
          </cell>
          <cell r="J68">
            <v>3</v>
          </cell>
          <cell r="K68">
            <v>2.4</v>
          </cell>
          <cell r="L68">
            <v>0</v>
          </cell>
        </row>
        <row r="69">
          <cell r="A69">
            <v>68</v>
          </cell>
          <cell r="B69" t="str">
            <v>事務所ｴﾘｱ2F</v>
          </cell>
          <cell r="C69" t="str">
            <v>階段室2</v>
          </cell>
          <cell r="D69">
            <v>100</v>
          </cell>
          <cell r="E69">
            <v>6</v>
          </cell>
          <cell r="F69" t="str">
            <v>FL</v>
          </cell>
          <cell r="G69">
            <v>40</v>
          </cell>
          <cell r="H69">
            <v>2</v>
          </cell>
          <cell r="I69">
            <v>7</v>
          </cell>
          <cell r="J69">
            <v>3</v>
          </cell>
          <cell r="K69">
            <v>2.4</v>
          </cell>
          <cell r="L69">
            <v>0</v>
          </cell>
        </row>
        <row r="70">
          <cell r="A70">
            <v>69</v>
          </cell>
          <cell r="B70" t="str">
            <v>事務所ｴﾘｱ2F</v>
          </cell>
          <cell r="C70" t="str">
            <v>廊下</v>
          </cell>
          <cell r="D70">
            <v>100</v>
          </cell>
          <cell r="E70">
            <v>6</v>
          </cell>
          <cell r="F70" t="str">
            <v>FL</v>
          </cell>
          <cell r="G70">
            <v>40</v>
          </cell>
          <cell r="H70">
            <v>2</v>
          </cell>
          <cell r="I70">
            <v>19.2</v>
          </cell>
          <cell r="J70">
            <v>1</v>
          </cell>
          <cell r="K70">
            <v>2.2000000000000002</v>
          </cell>
          <cell r="L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16" zoomScaleNormal="5" zoomScaleSheetLayoutView="4" workbookViewId="0"/>
  </sheetViews>
  <sheetFormatPr defaultRowHeight="14.4"/>
  <sheetData/>
  <phoneticPr fontId="2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36"/>
  <sheetViews>
    <sheetView tabSelected="1" view="pageBreakPreview" zoomScaleNormal="100" zoomScaleSheetLayoutView="100" workbookViewId="0">
      <selection activeCell="U15" sqref="U15"/>
    </sheetView>
  </sheetViews>
  <sheetFormatPr defaultColWidth="8.19921875" defaultRowHeight="13.2"/>
  <cols>
    <col min="1" max="3" width="2.09765625" style="1" customWidth="1"/>
    <col min="4" max="43" width="1.8984375" style="1" customWidth="1"/>
    <col min="44" max="44" width="9.69921875" style="1" bestFit="1" customWidth="1"/>
    <col min="45" max="45" width="8.69921875" style="1" bestFit="1" customWidth="1"/>
    <col min="46" max="48" width="9.796875" style="1" bestFit="1" customWidth="1"/>
    <col min="49" max="16384" width="8.19921875" style="1"/>
  </cols>
  <sheetData>
    <row r="1" spans="1:57">
      <c r="A1" s="34"/>
      <c r="B1" s="34"/>
      <c r="AF1" s="2" t="s">
        <v>0</v>
      </c>
      <c r="AH1" s="3"/>
      <c r="AI1" s="36">
        <f ca="1">TODAY()</f>
        <v>46171</v>
      </c>
      <c r="AJ1" s="36"/>
      <c r="AK1" s="36"/>
      <c r="AL1" s="36"/>
      <c r="AM1" s="36"/>
      <c r="AN1" s="36"/>
      <c r="AO1" s="36"/>
      <c r="AP1" s="36"/>
      <c r="AQ1" s="36"/>
    </row>
    <row r="2" spans="1:57" ht="13.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</row>
    <row r="3" spans="1:57" ht="13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</row>
    <row r="4" spans="1:57" ht="13.5" customHeight="1">
      <c r="A4" s="4"/>
      <c r="B4" s="37" t="s">
        <v>21</v>
      </c>
      <c r="C4" s="37"/>
      <c r="D4" s="37"/>
      <c r="E4" s="37"/>
      <c r="F4" s="37"/>
      <c r="G4" s="3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57" ht="15" customHeight="1">
      <c r="B5" s="26" t="s">
        <v>24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S5" s="5"/>
      <c r="T5" s="5"/>
      <c r="W5" s="5"/>
      <c r="X5" s="5"/>
      <c r="AH5" s="3"/>
      <c r="AI5" s="3"/>
      <c r="AR5" s="6"/>
      <c r="AS5" s="7"/>
      <c r="AT5" s="7"/>
      <c r="AU5" s="7"/>
      <c r="AV5" s="7"/>
      <c r="AW5" s="7"/>
      <c r="AX5" s="7"/>
      <c r="AY5" s="7"/>
      <c r="AZ5" s="7"/>
      <c r="BA5" s="7"/>
      <c r="BB5" s="7"/>
      <c r="BC5" s="6"/>
      <c r="BD5" s="6"/>
      <c r="BE5" s="6"/>
    </row>
    <row r="6" spans="1:57" ht="16.5" customHeight="1">
      <c r="B6" s="38" t="e">
        <f>+#REF!</f>
        <v>#REF!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40" t="s">
        <v>2</v>
      </c>
      <c r="R6" s="40"/>
      <c r="S6" s="40"/>
      <c r="T6" s="8"/>
      <c r="U6" s="8"/>
      <c r="V6" s="8"/>
      <c r="W6" s="8"/>
      <c r="X6" s="8"/>
      <c r="Y6" s="8"/>
      <c r="Z6" s="8"/>
      <c r="AA6" s="8"/>
      <c r="AC6" s="7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8"/>
      <c r="AR6" s="6"/>
      <c r="AS6" s="7"/>
      <c r="AT6" s="7"/>
      <c r="AU6" s="7"/>
      <c r="AV6" s="7"/>
      <c r="AW6" s="7"/>
      <c r="AX6" s="7"/>
      <c r="AY6" s="7"/>
      <c r="AZ6" s="7"/>
      <c r="BA6" s="7"/>
      <c r="BB6" s="7"/>
      <c r="BC6" s="6"/>
      <c r="BD6" s="6"/>
      <c r="BE6" s="6"/>
    </row>
    <row r="7" spans="1:57" ht="13.5" customHeight="1" thickBo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1"/>
      <c r="R7" s="41"/>
      <c r="S7" s="41"/>
      <c r="T7" s="9"/>
      <c r="U7" s="8"/>
      <c r="V7" s="8"/>
      <c r="W7" s="8"/>
      <c r="X7" s="8"/>
      <c r="Y7" s="8"/>
      <c r="Z7" s="8"/>
      <c r="AA7" s="8"/>
      <c r="AB7" s="7"/>
      <c r="AC7" s="7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8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5" customHeight="1">
      <c r="A8" s="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11"/>
      <c r="U8" s="8"/>
      <c r="V8" s="8"/>
      <c r="W8" s="8"/>
      <c r="X8" s="8"/>
      <c r="Y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8"/>
      <c r="AQ8" s="8"/>
      <c r="AR8" s="12"/>
      <c r="AS8" s="6"/>
      <c r="AT8" s="6"/>
      <c r="AU8" s="13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3.5" customHeight="1">
      <c r="A9" s="8"/>
      <c r="B9" s="14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7"/>
      <c r="S9" s="7"/>
      <c r="T9" s="7"/>
      <c r="U9" s="8"/>
      <c r="V9" s="8"/>
      <c r="W9" s="8"/>
      <c r="X9" s="8"/>
      <c r="Y9" s="8"/>
      <c r="AD9" s="15"/>
      <c r="AE9" s="16"/>
      <c r="AF9" s="16"/>
      <c r="AG9" s="44"/>
      <c r="AH9" s="44"/>
      <c r="AI9" s="44"/>
      <c r="AJ9" s="44"/>
      <c r="AP9" s="19"/>
      <c r="AR9" s="6"/>
      <c r="AS9" s="6"/>
      <c r="AT9" s="7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" customHeight="1">
      <c r="A10" s="17"/>
      <c r="B10" s="14" t="s">
        <v>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AD10" s="18"/>
      <c r="AE10" s="18"/>
      <c r="AF10" s="18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R10" s="6" t="s">
        <v>20</v>
      </c>
      <c r="AS10" s="25"/>
      <c r="AT10" s="6"/>
      <c r="AU10" s="12"/>
      <c r="AV10" s="7"/>
      <c r="AW10" s="7"/>
      <c r="AX10" s="7"/>
      <c r="AY10" s="7"/>
      <c r="AZ10" s="12"/>
      <c r="BA10" s="7"/>
      <c r="BB10" s="7"/>
      <c r="BC10" s="7"/>
      <c r="BD10" s="6"/>
      <c r="BE10" s="6"/>
    </row>
    <row r="11" spans="1:57" ht="12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AD11" s="14"/>
      <c r="AE11" s="14"/>
      <c r="AF11" s="14"/>
      <c r="AG11" s="13"/>
      <c r="AR11" s="12"/>
      <c r="AS11" s="6"/>
      <c r="AT11" s="7"/>
      <c r="AU11" s="13"/>
      <c r="AV11" s="7"/>
      <c r="AW11" s="7"/>
      <c r="AX11" s="7"/>
      <c r="AY11" s="7"/>
      <c r="AZ11" s="7"/>
      <c r="BA11" s="7"/>
      <c r="BB11" s="7"/>
      <c r="BC11" s="7"/>
      <c r="BD11" s="6"/>
      <c r="BE11" s="6"/>
    </row>
    <row r="12" spans="1:57" ht="12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AD12" s="15"/>
      <c r="AE12" s="16"/>
      <c r="AF12" s="16"/>
      <c r="AG12" s="44"/>
      <c r="AH12" s="44"/>
      <c r="AI12" s="44"/>
      <c r="AJ12" s="44"/>
      <c r="AP12" s="19"/>
      <c r="AR12" s="12"/>
      <c r="AS12" s="6"/>
      <c r="AT12" s="7"/>
      <c r="AU12" s="13"/>
      <c r="AV12" s="7"/>
      <c r="AW12" s="7"/>
      <c r="AX12" s="7"/>
      <c r="AY12" s="7"/>
      <c r="AZ12" s="7"/>
      <c r="BA12" s="7"/>
      <c r="BB12" s="7"/>
      <c r="BC12" s="7"/>
      <c r="BD12" s="6"/>
      <c r="BE12" s="6"/>
    </row>
    <row r="13" spans="1:57" ht="12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D13" s="18"/>
      <c r="AE13" s="18"/>
      <c r="AF13" s="18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R13" s="12"/>
      <c r="AS13" s="6"/>
      <c r="AT13" s="7"/>
      <c r="AU13" s="13"/>
      <c r="AV13" s="7"/>
      <c r="AW13" s="7"/>
      <c r="AX13" s="7"/>
      <c r="AY13" s="7"/>
      <c r="AZ13" s="7"/>
      <c r="BA13" s="7"/>
      <c r="BB13" s="7"/>
      <c r="BC13" s="7"/>
      <c r="BD13" s="6"/>
      <c r="BE13" s="6"/>
    </row>
    <row r="14" spans="1:57" ht="12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D14" s="14"/>
      <c r="AE14" s="14"/>
      <c r="AF14" s="14"/>
      <c r="AG14" s="13"/>
      <c r="AR14" s="12"/>
      <c r="AS14" s="6"/>
      <c r="AT14" s="7"/>
      <c r="AU14" s="13"/>
      <c r="AV14" s="7"/>
      <c r="AW14" s="7"/>
      <c r="AX14" s="7"/>
      <c r="AY14" s="7"/>
      <c r="AZ14" s="7"/>
      <c r="BA14" s="7"/>
      <c r="BB14" s="7"/>
      <c r="BC14" s="7"/>
      <c r="BD14" s="6"/>
      <c r="BE14" s="6"/>
    </row>
    <row r="15" spans="1:57" ht="9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3"/>
      <c r="AG15" s="14"/>
      <c r="AH15" s="14"/>
      <c r="AR15" s="12"/>
      <c r="AS15" s="6"/>
      <c r="AT15" s="7"/>
      <c r="AU15" s="13"/>
      <c r="AV15" s="7"/>
      <c r="AW15" s="7"/>
      <c r="AX15" s="7"/>
      <c r="AY15" s="7"/>
      <c r="AZ15" s="7"/>
      <c r="BA15" s="7"/>
      <c r="BB15" s="7"/>
      <c r="BC15" s="7"/>
      <c r="BD15" s="6"/>
      <c r="BE15" s="6"/>
    </row>
    <row r="16" spans="1:57" ht="21.75" customHeight="1">
      <c r="A16" s="46" t="s">
        <v>5</v>
      </c>
      <c r="B16" s="47"/>
      <c r="C16" s="47"/>
      <c r="D16" s="47"/>
      <c r="E16" s="47"/>
      <c r="F16" s="47"/>
      <c r="G16" s="47"/>
      <c r="H16" s="47"/>
      <c r="I16" s="47"/>
      <c r="J16" s="47" t="s">
        <v>6</v>
      </c>
      <c r="K16" s="47"/>
      <c r="L16" s="47"/>
      <c r="M16" s="47"/>
      <c r="N16" s="47"/>
      <c r="O16" s="47"/>
      <c r="P16" s="47"/>
      <c r="Q16" s="47"/>
      <c r="R16" s="47"/>
      <c r="S16" s="47" t="s">
        <v>7</v>
      </c>
      <c r="T16" s="47"/>
      <c r="U16" s="47"/>
      <c r="V16" s="47"/>
      <c r="W16" s="47"/>
      <c r="X16" s="47"/>
      <c r="Y16" s="47"/>
      <c r="Z16" s="47"/>
      <c r="AA16" s="47" t="s">
        <v>8</v>
      </c>
      <c r="AB16" s="47"/>
      <c r="AC16" s="47"/>
      <c r="AD16" s="47"/>
      <c r="AE16" s="47"/>
      <c r="AF16" s="47"/>
      <c r="AG16" s="47"/>
      <c r="AH16" s="47"/>
      <c r="AI16" s="48" t="s">
        <v>9</v>
      </c>
      <c r="AJ16" s="48"/>
      <c r="AK16" s="48"/>
      <c r="AL16" s="48"/>
      <c r="AM16" s="48"/>
      <c r="AN16" s="48"/>
      <c r="AO16" s="48"/>
      <c r="AP16" s="48"/>
      <c r="AQ16" s="49"/>
      <c r="AR16" s="12"/>
      <c r="AS16" s="6"/>
      <c r="AT16" s="7"/>
      <c r="AU16" s="13"/>
      <c r="AV16" s="7"/>
      <c r="AW16" s="7"/>
      <c r="AX16" s="7"/>
      <c r="AY16" s="7"/>
      <c r="AZ16" s="7"/>
      <c r="BA16" s="7"/>
      <c r="BB16" s="7"/>
      <c r="BC16" s="7"/>
      <c r="BD16" s="6"/>
      <c r="BE16" s="6"/>
    </row>
    <row r="17" spans="1:49" ht="21.75" customHeigh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>
        <f>Y36</f>
        <v>0</v>
      </c>
      <c r="T17" s="51"/>
      <c r="U17" s="51"/>
      <c r="V17" s="51"/>
      <c r="W17" s="51"/>
      <c r="X17" s="51"/>
      <c r="Y17" s="51"/>
      <c r="Z17" s="51"/>
      <c r="AA17" s="51">
        <f>S17*0.1</f>
        <v>0</v>
      </c>
      <c r="AB17" s="51"/>
      <c r="AC17" s="51"/>
      <c r="AD17" s="51"/>
      <c r="AE17" s="51"/>
      <c r="AF17" s="51"/>
      <c r="AG17" s="51"/>
      <c r="AH17" s="51"/>
      <c r="AI17" s="51">
        <f>SUM(S17:AH17)</f>
        <v>0</v>
      </c>
      <c r="AJ17" s="51"/>
      <c r="AK17" s="51"/>
      <c r="AL17" s="51"/>
      <c r="AM17" s="51"/>
      <c r="AN17" s="51"/>
      <c r="AO17" s="51"/>
      <c r="AP17" s="51"/>
      <c r="AQ17" s="52"/>
    </row>
    <row r="18" spans="1:49" ht="12" customHeight="1" thickBo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</row>
    <row r="19" spans="1:49" ht="24" customHeight="1" thickTop="1" thickBot="1">
      <c r="A19" s="28" t="s">
        <v>10</v>
      </c>
      <c r="B19" s="29"/>
      <c r="C19" s="30"/>
      <c r="D19" s="31" t="s">
        <v>11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30"/>
      <c r="Y19" s="32" t="s">
        <v>12</v>
      </c>
      <c r="Z19" s="27"/>
      <c r="AA19" s="27"/>
      <c r="AB19" s="27"/>
      <c r="AC19" s="33"/>
      <c r="AD19" s="53" t="s">
        <v>13</v>
      </c>
      <c r="AE19" s="53"/>
      <c r="AF19" s="53"/>
      <c r="AG19" s="53" t="s">
        <v>14</v>
      </c>
      <c r="AH19" s="53"/>
      <c r="AI19" s="53"/>
      <c r="AJ19" s="53"/>
      <c r="AK19" s="53" t="s">
        <v>15</v>
      </c>
      <c r="AL19" s="53"/>
      <c r="AM19" s="53"/>
      <c r="AN19" s="53"/>
      <c r="AO19" s="53"/>
      <c r="AP19" s="53"/>
      <c r="AQ19" s="54"/>
    </row>
    <row r="20" spans="1:49" ht="30" customHeight="1" thickTop="1">
      <c r="A20" s="55"/>
      <c r="B20" s="56"/>
      <c r="C20" s="56"/>
      <c r="D20" s="72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4"/>
      <c r="Y20" s="75"/>
      <c r="Z20" s="75"/>
      <c r="AA20" s="75"/>
      <c r="AB20" s="75"/>
      <c r="AC20" s="75"/>
      <c r="AD20" s="76"/>
      <c r="AE20" s="76"/>
      <c r="AF20" s="76"/>
      <c r="AG20" s="77"/>
      <c r="AH20" s="78"/>
      <c r="AI20" s="78"/>
      <c r="AJ20" s="79"/>
      <c r="AK20" s="80"/>
      <c r="AL20" s="81"/>
      <c r="AM20" s="81"/>
      <c r="AN20" s="81"/>
      <c r="AO20" s="81"/>
      <c r="AP20" s="81"/>
      <c r="AQ20" s="82"/>
    </row>
    <row r="21" spans="1:49" ht="30" customHeight="1">
      <c r="A21" s="66" t="s">
        <v>26</v>
      </c>
      <c r="B21" s="67"/>
      <c r="C21" s="67"/>
      <c r="D21" s="68" t="s">
        <v>25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58">
        <v>1</v>
      </c>
      <c r="Z21" s="58"/>
      <c r="AA21" s="58"/>
      <c r="AB21" s="58"/>
      <c r="AC21" s="58"/>
      <c r="AD21" s="59" t="s">
        <v>16</v>
      </c>
      <c r="AE21" s="59"/>
      <c r="AF21" s="59"/>
      <c r="AG21" s="60"/>
      <c r="AH21" s="61"/>
      <c r="AI21" s="61"/>
      <c r="AJ21" s="62"/>
      <c r="AK21" s="69" t="s">
        <v>27</v>
      </c>
      <c r="AL21" s="70"/>
      <c r="AM21" s="70"/>
      <c r="AN21" s="70"/>
      <c r="AO21" s="70"/>
      <c r="AP21" s="70"/>
      <c r="AQ21" s="71"/>
    </row>
    <row r="22" spans="1:49" ht="30" customHeight="1">
      <c r="A22" s="55"/>
      <c r="B22" s="56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8"/>
      <c r="Z22" s="58"/>
      <c r="AA22" s="58"/>
      <c r="AB22" s="58"/>
      <c r="AC22" s="58"/>
      <c r="AD22" s="59"/>
      <c r="AE22" s="59"/>
      <c r="AF22" s="59"/>
      <c r="AG22" s="60"/>
      <c r="AH22" s="61"/>
      <c r="AI22" s="61"/>
      <c r="AJ22" s="62"/>
      <c r="AK22" s="63"/>
      <c r="AL22" s="64"/>
      <c r="AM22" s="64"/>
      <c r="AN22" s="64"/>
      <c r="AO22" s="64"/>
      <c r="AP22" s="64"/>
      <c r="AQ22" s="65"/>
    </row>
    <row r="23" spans="1:49" ht="30" customHeight="1">
      <c r="A23" s="55"/>
      <c r="B23" s="56"/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58"/>
      <c r="AA23" s="58"/>
      <c r="AB23" s="58"/>
      <c r="AC23" s="58"/>
      <c r="AD23" s="59"/>
      <c r="AE23" s="59"/>
      <c r="AF23" s="59"/>
      <c r="AG23" s="60"/>
      <c r="AH23" s="61"/>
      <c r="AI23" s="61"/>
      <c r="AJ23" s="62"/>
      <c r="AK23" s="63"/>
      <c r="AL23" s="64"/>
      <c r="AM23" s="64"/>
      <c r="AN23" s="64"/>
      <c r="AO23" s="64"/>
      <c r="AP23" s="64"/>
      <c r="AQ23" s="65"/>
    </row>
    <row r="24" spans="1:49" ht="30" customHeight="1">
      <c r="A24" s="55"/>
      <c r="B24" s="56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8"/>
      <c r="Z24" s="58"/>
      <c r="AA24" s="58"/>
      <c r="AB24" s="58"/>
      <c r="AC24" s="58"/>
      <c r="AD24" s="59"/>
      <c r="AE24" s="59"/>
      <c r="AF24" s="59"/>
      <c r="AG24" s="60"/>
      <c r="AH24" s="61"/>
      <c r="AI24" s="61"/>
      <c r="AJ24" s="62"/>
      <c r="AK24" s="63"/>
      <c r="AL24" s="64"/>
      <c r="AM24" s="64"/>
      <c r="AN24" s="64"/>
      <c r="AO24" s="64"/>
      <c r="AP24" s="64"/>
      <c r="AQ24" s="65"/>
    </row>
    <row r="25" spans="1:49" ht="30" customHeight="1">
      <c r="A25" s="55"/>
      <c r="B25" s="56"/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8"/>
      <c r="AA25" s="58"/>
      <c r="AB25" s="58"/>
      <c r="AC25" s="58"/>
      <c r="AD25" s="59"/>
      <c r="AE25" s="59"/>
      <c r="AF25" s="59"/>
      <c r="AG25" s="60"/>
      <c r="AH25" s="61"/>
      <c r="AI25" s="61"/>
      <c r="AJ25" s="62"/>
      <c r="AK25" s="63"/>
      <c r="AL25" s="64"/>
      <c r="AM25" s="64"/>
      <c r="AN25" s="64"/>
      <c r="AO25" s="64"/>
      <c r="AP25" s="64"/>
      <c r="AQ25" s="65"/>
    </row>
    <row r="26" spans="1:49" ht="30" customHeight="1">
      <c r="A26" s="55"/>
      <c r="B26" s="56"/>
      <c r="C26" s="56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8"/>
      <c r="Z26" s="58"/>
      <c r="AA26" s="58"/>
      <c r="AB26" s="58"/>
      <c r="AC26" s="58"/>
      <c r="AD26" s="59"/>
      <c r="AE26" s="59"/>
      <c r="AF26" s="59"/>
      <c r="AG26" s="60"/>
      <c r="AH26" s="61"/>
      <c r="AI26" s="61"/>
      <c r="AJ26" s="62"/>
      <c r="AK26" s="63"/>
      <c r="AL26" s="64"/>
      <c r="AM26" s="64"/>
      <c r="AN26" s="64"/>
      <c r="AO26" s="64"/>
      <c r="AP26" s="64"/>
      <c r="AQ26" s="65"/>
      <c r="AT26" s="20"/>
      <c r="AU26" s="21"/>
    </row>
    <row r="27" spans="1:49" ht="30" customHeight="1">
      <c r="A27" s="55"/>
      <c r="B27" s="56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83"/>
      <c r="Z27" s="83"/>
      <c r="AA27" s="83"/>
      <c r="AB27" s="83"/>
      <c r="AC27" s="83"/>
      <c r="AD27" s="59"/>
      <c r="AE27" s="59"/>
      <c r="AF27" s="59"/>
      <c r="AG27" s="60"/>
      <c r="AH27" s="61"/>
      <c r="AI27" s="61"/>
      <c r="AJ27" s="62"/>
      <c r="AK27" s="63"/>
      <c r="AL27" s="64"/>
      <c r="AM27" s="64"/>
      <c r="AN27" s="64"/>
      <c r="AO27" s="64"/>
      <c r="AP27" s="64"/>
      <c r="AQ27" s="65"/>
    </row>
    <row r="28" spans="1:49" ht="30" customHeight="1">
      <c r="A28" s="55"/>
      <c r="B28" s="56"/>
      <c r="C28" s="5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83"/>
      <c r="Z28" s="83"/>
      <c r="AA28" s="83"/>
      <c r="AB28" s="83"/>
      <c r="AC28" s="83"/>
      <c r="AD28" s="59"/>
      <c r="AE28" s="59"/>
      <c r="AF28" s="59"/>
      <c r="AG28" s="60"/>
      <c r="AH28" s="61"/>
      <c r="AI28" s="61"/>
      <c r="AJ28" s="62"/>
      <c r="AK28" s="63"/>
      <c r="AL28" s="64"/>
      <c r="AM28" s="64"/>
      <c r="AN28" s="64"/>
      <c r="AO28" s="64"/>
      <c r="AP28" s="64"/>
      <c r="AQ28" s="65"/>
    </row>
    <row r="29" spans="1:49" ht="30" customHeight="1">
      <c r="A29" s="55"/>
      <c r="B29" s="56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83"/>
      <c r="Z29" s="83"/>
      <c r="AA29" s="83"/>
      <c r="AB29" s="83"/>
      <c r="AC29" s="83"/>
      <c r="AD29" s="59"/>
      <c r="AE29" s="59"/>
      <c r="AF29" s="59"/>
      <c r="AG29" s="60"/>
      <c r="AH29" s="61"/>
      <c r="AI29" s="61"/>
      <c r="AJ29" s="62"/>
      <c r="AK29" s="63"/>
      <c r="AL29" s="64"/>
      <c r="AM29" s="64"/>
      <c r="AN29" s="64"/>
      <c r="AO29" s="64"/>
      <c r="AP29" s="64"/>
      <c r="AQ29" s="65"/>
    </row>
    <row r="30" spans="1:49" ht="30" customHeight="1">
      <c r="A30" s="55"/>
      <c r="B30" s="56"/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8"/>
      <c r="Z30" s="58"/>
      <c r="AA30" s="58"/>
      <c r="AB30" s="58"/>
      <c r="AC30" s="58"/>
      <c r="AD30" s="59"/>
      <c r="AE30" s="59"/>
      <c r="AF30" s="59"/>
      <c r="AG30" s="60"/>
      <c r="AH30" s="61"/>
      <c r="AI30" s="61"/>
      <c r="AJ30" s="62"/>
      <c r="AK30" s="63"/>
      <c r="AL30" s="64"/>
      <c r="AM30" s="64"/>
      <c r="AN30" s="64"/>
      <c r="AO30" s="64"/>
      <c r="AP30" s="64"/>
      <c r="AQ30" s="65"/>
    </row>
    <row r="31" spans="1:49" ht="30" customHeight="1">
      <c r="A31" s="55"/>
      <c r="B31" s="56"/>
      <c r="C31" s="56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8"/>
      <c r="Z31" s="58"/>
      <c r="AA31" s="58"/>
      <c r="AB31" s="58"/>
      <c r="AC31" s="58"/>
      <c r="AD31" s="59"/>
      <c r="AE31" s="59"/>
      <c r="AF31" s="59"/>
      <c r="AG31" s="87"/>
      <c r="AH31" s="87"/>
      <c r="AI31" s="87"/>
      <c r="AJ31" s="87"/>
      <c r="AK31" s="63"/>
      <c r="AL31" s="64"/>
      <c r="AM31" s="64"/>
      <c r="AN31" s="64"/>
      <c r="AO31" s="64"/>
      <c r="AP31" s="64"/>
      <c r="AQ31" s="65"/>
      <c r="AW31" s="22"/>
    </row>
    <row r="32" spans="1:49" ht="30" customHeight="1">
      <c r="A32" s="55"/>
      <c r="B32" s="56"/>
      <c r="C32" s="5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84"/>
      <c r="Z32" s="85"/>
      <c r="AA32" s="85"/>
      <c r="AB32" s="85"/>
      <c r="AC32" s="86"/>
      <c r="AD32" s="59"/>
      <c r="AE32" s="59"/>
      <c r="AF32" s="59"/>
      <c r="AG32" s="87"/>
      <c r="AH32" s="87"/>
      <c r="AI32" s="87"/>
      <c r="AJ32" s="87"/>
      <c r="AK32" s="63"/>
      <c r="AL32" s="64"/>
      <c r="AM32" s="64"/>
      <c r="AN32" s="64"/>
      <c r="AO32" s="64"/>
      <c r="AP32" s="64"/>
      <c r="AQ32" s="65"/>
      <c r="AV32" s="20"/>
    </row>
    <row r="33" spans="1:43" ht="30" customHeight="1">
      <c r="A33" s="55"/>
      <c r="B33" s="56"/>
      <c r="C33" s="5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8"/>
      <c r="AA33" s="58"/>
      <c r="AB33" s="58"/>
      <c r="AC33" s="58"/>
      <c r="AD33" s="59"/>
      <c r="AE33" s="59"/>
      <c r="AF33" s="59"/>
      <c r="AG33" s="87"/>
      <c r="AH33" s="87"/>
      <c r="AI33" s="87"/>
      <c r="AJ33" s="87"/>
      <c r="AK33" s="63"/>
      <c r="AL33" s="64"/>
      <c r="AM33" s="64"/>
      <c r="AN33" s="64"/>
      <c r="AO33" s="64"/>
      <c r="AP33" s="64"/>
      <c r="AQ33" s="65"/>
    </row>
    <row r="34" spans="1:43" ht="30" customHeight="1" thickBot="1">
      <c r="A34" s="88"/>
      <c r="B34" s="89"/>
      <c r="C34" s="89"/>
      <c r="D34" s="90" t="s">
        <v>17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2"/>
      <c r="Y34" s="93">
        <v>1</v>
      </c>
      <c r="Z34" s="93"/>
      <c r="AA34" s="93"/>
      <c r="AB34" s="93"/>
      <c r="AC34" s="93"/>
      <c r="AD34" s="94" t="s">
        <v>16</v>
      </c>
      <c r="AE34" s="94"/>
      <c r="AF34" s="94"/>
      <c r="AG34" s="95"/>
      <c r="AH34" s="95"/>
      <c r="AI34" s="95"/>
      <c r="AJ34" s="95"/>
      <c r="AK34" s="96">
        <f>SUM(AK21:AQ33)</f>
        <v>0</v>
      </c>
      <c r="AL34" s="96"/>
      <c r="AM34" s="96"/>
      <c r="AN34" s="96"/>
      <c r="AO34" s="96"/>
      <c r="AP34" s="96"/>
      <c r="AQ34" s="97"/>
    </row>
    <row r="35" spans="1:43" ht="15" customHeight="1" thickTop="1">
      <c r="A35" s="98" t="s">
        <v>18</v>
      </c>
      <c r="B35" s="99"/>
      <c r="C35" s="100"/>
      <c r="D35" s="101" t="s">
        <v>22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2"/>
      <c r="Y35" s="105"/>
      <c r="Z35" s="105"/>
      <c r="AA35" s="105"/>
      <c r="AB35" s="105"/>
      <c r="AC35" s="106"/>
      <c r="AD35" s="107"/>
      <c r="AE35" s="108"/>
      <c r="AF35" s="108"/>
      <c r="AG35" s="109" t="s">
        <v>23</v>
      </c>
      <c r="AH35" s="109"/>
      <c r="AI35" s="109"/>
      <c r="AJ35" s="109"/>
      <c r="AK35" s="110" t="s">
        <v>19</v>
      </c>
      <c r="AL35" s="111"/>
      <c r="AM35" s="111"/>
      <c r="AN35" s="111"/>
      <c r="AO35" s="111"/>
      <c r="AP35" s="111"/>
      <c r="AQ35" s="112"/>
    </row>
    <row r="36" spans="1:43" ht="30" customHeight="1">
      <c r="A36" s="23"/>
      <c r="B36" s="24"/>
      <c r="C36" s="24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4"/>
      <c r="Y36" s="113">
        <f>AK34</f>
        <v>0</v>
      </c>
      <c r="Z36" s="114"/>
      <c r="AA36" s="114"/>
      <c r="AB36" s="114"/>
      <c r="AC36" s="114"/>
      <c r="AD36" s="114"/>
      <c r="AE36" s="114"/>
      <c r="AF36" s="115"/>
      <c r="AG36" s="116">
        <f>Y36*0.1</f>
        <v>0</v>
      </c>
      <c r="AH36" s="117"/>
      <c r="AI36" s="117"/>
      <c r="AJ36" s="118"/>
      <c r="AK36" s="113">
        <f>Y36+AG36</f>
        <v>0</v>
      </c>
      <c r="AL36" s="114"/>
      <c r="AM36" s="114"/>
      <c r="AN36" s="114"/>
      <c r="AO36" s="114"/>
      <c r="AP36" s="114"/>
      <c r="AQ36" s="119"/>
    </row>
  </sheetData>
  <mergeCells count="133">
    <mergeCell ref="A35:C35"/>
    <mergeCell ref="D35:X36"/>
    <mergeCell ref="Y35:AC35"/>
    <mergeCell ref="AD35:AF35"/>
    <mergeCell ref="AG35:AJ35"/>
    <mergeCell ref="AK35:AQ35"/>
    <mergeCell ref="Y36:AF36"/>
    <mergeCell ref="AG36:AJ36"/>
    <mergeCell ref="AK36:AQ36"/>
    <mergeCell ref="A34:C34"/>
    <mergeCell ref="D34:X34"/>
    <mergeCell ref="Y34:AC34"/>
    <mergeCell ref="AD34:AF34"/>
    <mergeCell ref="AG34:AJ34"/>
    <mergeCell ref="AK34:AQ34"/>
    <mergeCell ref="A33:C33"/>
    <mergeCell ref="D33:X33"/>
    <mergeCell ref="Y33:AC33"/>
    <mergeCell ref="AD33:AF33"/>
    <mergeCell ref="AG33:AJ33"/>
    <mergeCell ref="AK33:AQ33"/>
    <mergeCell ref="A32:C32"/>
    <mergeCell ref="D32:X32"/>
    <mergeCell ref="Y32:AC32"/>
    <mergeCell ref="AD32:AF32"/>
    <mergeCell ref="AG32:AJ32"/>
    <mergeCell ref="AK32:AQ32"/>
    <mergeCell ref="A31:C31"/>
    <mergeCell ref="D31:X31"/>
    <mergeCell ref="Y31:AC31"/>
    <mergeCell ref="AD31:AF31"/>
    <mergeCell ref="AG31:AJ31"/>
    <mergeCell ref="AK31:AQ31"/>
    <mergeCell ref="A30:C30"/>
    <mergeCell ref="D30:X30"/>
    <mergeCell ref="Y30:AC30"/>
    <mergeCell ref="AD30:AF30"/>
    <mergeCell ref="AG30:AJ30"/>
    <mergeCell ref="AK30:AQ30"/>
    <mergeCell ref="A29:C29"/>
    <mergeCell ref="D29:X29"/>
    <mergeCell ref="Y29:AC29"/>
    <mergeCell ref="AD29:AF29"/>
    <mergeCell ref="AG29:AJ29"/>
    <mergeCell ref="AK29:AQ29"/>
    <mergeCell ref="A28:C28"/>
    <mergeCell ref="D28:X28"/>
    <mergeCell ref="Y28:AC28"/>
    <mergeCell ref="AD28:AF28"/>
    <mergeCell ref="AG28:AJ28"/>
    <mergeCell ref="AK28:AQ28"/>
    <mergeCell ref="A27:C27"/>
    <mergeCell ref="D27:X27"/>
    <mergeCell ref="Y27:AC27"/>
    <mergeCell ref="AD27:AF27"/>
    <mergeCell ref="AG27:AJ27"/>
    <mergeCell ref="AK27:AQ27"/>
    <mergeCell ref="AK24:AQ24"/>
    <mergeCell ref="A23:C23"/>
    <mergeCell ref="D23:X23"/>
    <mergeCell ref="Y23:AC23"/>
    <mergeCell ref="AD23:AF23"/>
    <mergeCell ref="AG23:AJ23"/>
    <mergeCell ref="AK23:AQ23"/>
    <mergeCell ref="A26:C26"/>
    <mergeCell ref="D26:X26"/>
    <mergeCell ref="Y26:AC26"/>
    <mergeCell ref="AD26:AF26"/>
    <mergeCell ref="AG26:AJ26"/>
    <mergeCell ref="AK26:AQ26"/>
    <mergeCell ref="A25:C25"/>
    <mergeCell ref="D25:X25"/>
    <mergeCell ref="Y25:AC25"/>
    <mergeCell ref="AD25:AF25"/>
    <mergeCell ref="AG25:AJ25"/>
    <mergeCell ref="AK25:AQ25"/>
    <mergeCell ref="AD18:AF18"/>
    <mergeCell ref="A24:C24"/>
    <mergeCell ref="D24:X24"/>
    <mergeCell ref="Y24:AC24"/>
    <mergeCell ref="AD24:AF24"/>
    <mergeCell ref="AG24:AJ24"/>
    <mergeCell ref="AD19:AF19"/>
    <mergeCell ref="AG19:AJ19"/>
    <mergeCell ref="AG18:AJ18"/>
    <mergeCell ref="AA17:AH17"/>
    <mergeCell ref="AI17:AQ17"/>
    <mergeCell ref="AK19:AQ19"/>
    <mergeCell ref="A22:C22"/>
    <mergeCell ref="D22:X22"/>
    <mergeCell ref="Y22:AC22"/>
    <mergeCell ref="AD22:AF22"/>
    <mergeCell ref="AG22:AJ22"/>
    <mergeCell ref="AK22:AQ22"/>
    <mergeCell ref="A21:C21"/>
    <mergeCell ref="D21:X21"/>
    <mergeCell ref="Y21:AC21"/>
    <mergeCell ref="AD21:AF21"/>
    <mergeCell ref="AG21:AJ21"/>
    <mergeCell ref="AK21:AQ21"/>
    <mergeCell ref="A20:C20"/>
    <mergeCell ref="D20:X20"/>
    <mergeCell ref="Y20:AC20"/>
    <mergeCell ref="AD20:AF20"/>
    <mergeCell ref="AG20:AJ20"/>
    <mergeCell ref="AK20:AQ20"/>
    <mergeCell ref="A18:C18"/>
    <mergeCell ref="D18:X18"/>
    <mergeCell ref="Y18:AC18"/>
    <mergeCell ref="AK18:AQ18"/>
    <mergeCell ref="A19:C19"/>
    <mergeCell ref="D19:X19"/>
    <mergeCell ref="Y19:AC19"/>
    <mergeCell ref="A1:B1"/>
    <mergeCell ref="A2:AQ3"/>
    <mergeCell ref="AI1:AQ1"/>
    <mergeCell ref="B4:G4"/>
    <mergeCell ref="B6:P7"/>
    <mergeCell ref="Q6:S7"/>
    <mergeCell ref="AD6:AP7"/>
    <mergeCell ref="AD8:AO8"/>
    <mergeCell ref="AG9:AJ9"/>
    <mergeCell ref="AG10:AP10"/>
    <mergeCell ref="AG12:AJ12"/>
    <mergeCell ref="AG13:AP13"/>
    <mergeCell ref="A16:I16"/>
    <mergeCell ref="J16:R16"/>
    <mergeCell ref="S16:Z16"/>
    <mergeCell ref="AA16:AH16"/>
    <mergeCell ref="AI16:AQ16"/>
    <mergeCell ref="A17:I17"/>
    <mergeCell ref="J17:R17"/>
    <mergeCell ref="S17:Z17"/>
  </mergeCells>
  <phoneticPr fontId="5"/>
  <pageMargins left="0.61" right="0.59" top="0.59055118110236227" bottom="0.6" header="0.31496062992125984" footer="0.2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2" r:id="rId4" name="Check Box 4">
              <controlPr defaultSize="0" autoFill="0" autoLine="0" autoPict="0">
                <anchor moveWithCells="1">
                  <from>
                    <xdr:col>44</xdr:col>
                    <xdr:colOff>15240</xdr:colOff>
                    <xdr:row>8</xdr:row>
                    <xdr:rowOff>129540</xdr:rowOff>
                  </from>
                  <to>
                    <xdr:col>44</xdr:col>
                    <xdr:colOff>571500</xdr:colOff>
                    <xdr:row>10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Mieko Kanekawa</dc:creator>
  <cp:lastModifiedBy>小山 和也</cp:lastModifiedBy>
  <cp:lastPrinted>2026-03-04T00:25:57Z</cp:lastPrinted>
  <dcterms:created xsi:type="dcterms:W3CDTF">1999-02-22T06:39:24Z</dcterms:created>
  <dcterms:modified xsi:type="dcterms:W3CDTF">2026-05-29T00:52:20Z</dcterms:modified>
</cp:coreProperties>
</file>