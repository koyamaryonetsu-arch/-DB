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00.27\2025年度\物件データ\アミューズメント\TOHOシネマズ\★全店管理案件\webアプリ構築用\"/>
    </mc:Choice>
  </mc:AlternateContent>
  <xr:revisionPtr revIDLastSave="0" documentId="13_ncr:1_{F634C55F-71A6-4036-88C9-155607226F5F}" xr6:coauthVersionLast="47" xr6:coauthVersionMax="47" xr10:uidLastSave="{00000000-0000-0000-0000-000000000000}"/>
  <bookViews>
    <workbookView xWindow="-108" yWindow="-108" windowWidth="23256" windowHeight="14856" tabRatio="601" firstSheet="1" activeTab="1" xr2:uid="{00000000-000D-0000-FFFF-FFFF00000000}"/>
  </bookViews>
  <sheets>
    <sheet name="000000" sheetId="45" state="veryHidden" r:id="rId1"/>
    <sheet name="完了届" sheetId="60" r:id="rId2"/>
  </sheets>
  <externalReferences>
    <externalReference r:id="rId3"/>
  </externalReferences>
  <definedNames>
    <definedName name="_xlnm.Database">[1]部屋条件!$A$1:$L$65536</definedName>
    <definedName name="Excel_BuiltIn_Database">[1]部屋条件!$A$1:$L$65536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60" l="1"/>
  <c r="H29" i="60"/>
  <c r="H26" i="60"/>
</calcChain>
</file>

<file path=xl/sharedStrings.xml><?xml version="1.0" encoding="utf-8"?>
<sst xmlns="http://schemas.openxmlformats.org/spreadsheetml/2006/main" count="17" uniqueCount="17">
  <si>
    <t>　　場合は、上記の工事完成年月日の翌日を起算日として1年間の無償修理を保証します。</t>
    <rPh sb="2" eb="4">
      <t>バアイ</t>
    </rPh>
    <rPh sb="6" eb="8">
      <t>ジョウキ</t>
    </rPh>
    <rPh sb="9" eb="11">
      <t>コウジ</t>
    </rPh>
    <rPh sb="11" eb="13">
      <t>カンセイ</t>
    </rPh>
    <rPh sb="13" eb="16">
      <t>ネンガッピ</t>
    </rPh>
    <rPh sb="17" eb="19">
      <t>ヨクジツ</t>
    </rPh>
    <rPh sb="20" eb="23">
      <t>キサンビ</t>
    </rPh>
    <rPh sb="27" eb="29">
      <t>ネンカン</t>
    </rPh>
    <rPh sb="30" eb="32">
      <t>ムショウ</t>
    </rPh>
    <rPh sb="32" eb="34">
      <t>シュウリ</t>
    </rPh>
    <rPh sb="35" eb="37">
      <t>ホショウ</t>
    </rPh>
    <phoneticPr fontId="2"/>
  </si>
  <si>
    <t>注）本工事完了後に不具合が発生し、機器製作・取付及び施工上の過失が認められた</t>
    <rPh sb="0" eb="1">
      <t>チュウ</t>
    </rPh>
    <rPh sb="2" eb="3">
      <t>ホン</t>
    </rPh>
    <rPh sb="3" eb="5">
      <t>コウジ</t>
    </rPh>
    <rPh sb="5" eb="7">
      <t>カンリョウ</t>
    </rPh>
    <rPh sb="7" eb="8">
      <t>ゴ</t>
    </rPh>
    <rPh sb="9" eb="12">
      <t>フグアイ</t>
    </rPh>
    <rPh sb="13" eb="15">
      <t>ハッセイ</t>
    </rPh>
    <rPh sb="17" eb="19">
      <t>キキ</t>
    </rPh>
    <rPh sb="19" eb="21">
      <t>セイサク</t>
    </rPh>
    <rPh sb="22" eb="24">
      <t>トリツケ</t>
    </rPh>
    <rPh sb="24" eb="25">
      <t>オヨ</t>
    </rPh>
    <rPh sb="26" eb="28">
      <t>セコウ</t>
    </rPh>
    <rPh sb="28" eb="29">
      <t>ジョウ</t>
    </rPh>
    <rPh sb="30" eb="32">
      <t>カシツ</t>
    </rPh>
    <rPh sb="33" eb="34">
      <t>ミト</t>
    </rPh>
    <phoneticPr fontId="2"/>
  </si>
  <si>
    <t>　工事完成年月日</t>
    <rPh sb="1" eb="3">
      <t>コウジ</t>
    </rPh>
    <rPh sb="3" eb="5">
      <t>カンセイ</t>
    </rPh>
    <rPh sb="5" eb="8">
      <t>ネンガッピ</t>
    </rPh>
    <phoneticPr fontId="2"/>
  </si>
  <si>
    <t>　工事着手年月日</t>
    <rPh sb="1" eb="3">
      <t>コウジ</t>
    </rPh>
    <rPh sb="3" eb="5">
      <t>チャクシュ</t>
    </rPh>
    <rPh sb="5" eb="8">
      <t>ネンガッピ</t>
    </rPh>
    <phoneticPr fontId="2"/>
  </si>
  <si>
    <t>　契　約　工　期</t>
    <rPh sb="1" eb="2">
      <t>チギリ</t>
    </rPh>
    <rPh sb="3" eb="4">
      <t>ヤク</t>
    </rPh>
    <rPh sb="5" eb="6">
      <t>コウ</t>
    </rPh>
    <rPh sb="7" eb="8">
      <t>キ</t>
    </rPh>
    <phoneticPr fontId="2"/>
  </si>
  <si>
    <t>　契　約　金　額</t>
    <rPh sb="1" eb="2">
      <t>チギリ</t>
    </rPh>
    <rPh sb="3" eb="4">
      <t>ヤク</t>
    </rPh>
    <rPh sb="5" eb="6">
      <t>キン</t>
    </rPh>
    <rPh sb="7" eb="8">
      <t>ガク</t>
    </rPh>
    <phoneticPr fontId="2"/>
  </si>
  <si>
    <t>　工　事　場　所</t>
    <rPh sb="1" eb="2">
      <t>コウ</t>
    </rPh>
    <rPh sb="3" eb="4">
      <t>コト</t>
    </rPh>
    <rPh sb="5" eb="6">
      <t>バ</t>
    </rPh>
    <rPh sb="7" eb="8">
      <t>ショ</t>
    </rPh>
    <phoneticPr fontId="2"/>
  </si>
  <si>
    <t>　工　事　件　名</t>
    <rPh sb="1" eb="2">
      <t>コウ</t>
    </rPh>
    <rPh sb="3" eb="4">
      <t>コト</t>
    </rPh>
    <rPh sb="5" eb="6">
      <t>ケン</t>
    </rPh>
    <rPh sb="7" eb="8">
      <t>メイ</t>
    </rPh>
    <phoneticPr fontId="2"/>
  </si>
  <si>
    <t>下記の工事が完了しましたので届け出ます。</t>
    <rPh sb="0" eb="2">
      <t>カキ</t>
    </rPh>
    <rPh sb="3" eb="5">
      <t>コウジ</t>
    </rPh>
    <rPh sb="6" eb="8">
      <t>カンリョウ</t>
    </rPh>
    <rPh sb="14" eb="15">
      <t>トド</t>
    </rPh>
    <rPh sb="16" eb="17">
      <t>デ</t>
    </rPh>
    <phoneticPr fontId="2"/>
  </si>
  <si>
    <t>TOHOシネマズ株式会社　　御中</t>
    <rPh sb="8" eb="10">
      <t>カブシキ</t>
    </rPh>
    <rPh sb="10" eb="12">
      <t>カイシャ</t>
    </rPh>
    <rPh sb="14" eb="16">
      <t>オンチュウ</t>
    </rPh>
    <phoneticPr fontId="2"/>
  </si>
  <si>
    <t>工 事 完 了 届</t>
    <rPh sb="0" eb="1">
      <t>コウ</t>
    </rPh>
    <rPh sb="2" eb="3">
      <t>コト</t>
    </rPh>
    <rPh sb="4" eb="5">
      <t>カン</t>
    </rPh>
    <rPh sb="6" eb="7">
      <t>リョウ</t>
    </rPh>
    <rPh sb="8" eb="9">
      <t>トド</t>
    </rPh>
    <phoneticPr fontId="2"/>
  </si>
  <si>
    <t>～</t>
    <phoneticPr fontId="8"/>
  </si>
  <si>
    <t>ここに、劇場名　見積り名を記載</t>
    <phoneticPr fontId="8"/>
  </si>
  <si>
    <t>劇場の住所をインターネット検索して記入</t>
    <rPh sb="0" eb="2">
      <t>ゲキジョウ</t>
    </rPh>
    <rPh sb="3" eb="5">
      <t>ジュウショ</t>
    </rPh>
    <rPh sb="13" eb="15">
      <t>ケンサク</t>
    </rPh>
    <rPh sb="17" eb="19">
      <t>キニュウ</t>
    </rPh>
    <phoneticPr fontId="8"/>
  </si>
  <si>
    <t>見積り金額を記載</t>
    <phoneticPr fontId="8"/>
  </si>
  <si>
    <t>作業開始日を記入</t>
    <rPh sb="0" eb="2">
      <t>サギョウ</t>
    </rPh>
    <rPh sb="2" eb="5">
      <t>カイシビ</t>
    </rPh>
    <rPh sb="6" eb="8">
      <t>キニュウ</t>
    </rPh>
    <phoneticPr fontId="8"/>
  </si>
  <si>
    <t>作業完了日を記入</t>
    <rPh sb="0" eb="5">
      <t>サギョウカンリョウビ</t>
    </rPh>
    <rPh sb="6" eb="8">
      <t>キニュウ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</si>
</sst>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8" formatCode="&quot;$&quot;#,##0;[Red]\-&quot;$&quot;#,##0"/>
    <numFmt numFmtId="182" formatCode="yyyy&quot;年&quot;m&quot;月&quot;d&quot;日&quot;;@"/>
    <numFmt numFmtId="186" formatCode="[$-F800]dddd\,\ mmmm\ dd\,\ yyyy"/>
  </numFmts>
  <fonts count="35">
    <font>
      <sz val="12"/>
      <name val="ＨＧ丸ゴシックM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Courier"/>
      <family val="3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ＨＧ丸ゴシックM"/>
      <family val="3"/>
      <charset val="128"/>
    </font>
    <font>
      <b/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7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3"/>
      <name val="ＭＳ Ｐゴシック"/>
      <family val="3"/>
      <charset val="128"/>
    </font>
    <font>
      <sz val="14"/>
      <name val="ＭＳ Ｐゴシック"/>
      <family val="3"/>
      <charset val="128"/>
    </font>
    <font>
      <b/>
      <i/>
      <sz val="8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.5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14"/>
      <color indexed="12"/>
      <name val="ＭＳ Ｐゴシック"/>
      <family val="3"/>
      <charset val="128"/>
    </font>
    <font>
      <sz val="48"/>
      <name val="ＭＳ Ｐゴシック"/>
      <family val="3"/>
      <charset val="128"/>
    </font>
    <font>
      <sz val="16"/>
      <name val="ＭＳ Ｐゴシック"/>
      <family val="3"/>
      <charset val="128"/>
    </font>
    <font>
      <sz val="20"/>
      <name val="ＭＳ ゴシック"/>
      <family val="3"/>
      <charset val="128"/>
    </font>
    <font>
      <b/>
      <sz val="8.5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B05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9" fontId="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6" fontId="3" fillId="0" borderId="0" applyFont="0" applyFill="0" applyBorder="0" applyAlignment="0" applyProtection="0"/>
    <xf numFmtId="0" fontId="3" fillId="0" borderId="0"/>
    <xf numFmtId="0" fontId="30" fillId="0" borderId="0">
      <alignment vertical="center"/>
    </xf>
    <xf numFmtId="0" fontId="1" fillId="0" borderId="0"/>
  </cellStyleXfs>
  <cellXfs count="122">
    <xf numFmtId="0" fontId="0" fillId="0" borderId="0" xfId="0"/>
    <xf numFmtId="0" fontId="10" fillId="0" borderId="0" xfId="10" applyFont="1" applyAlignment="1">
      <alignment vertical="center"/>
    </xf>
    <xf numFmtId="0" fontId="17" fillId="0" borderId="0" xfId="10" applyFont="1" applyAlignment="1">
      <alignment vertical="center"/>
    </xf>
    <xf numFmtId="0" fontId="17" fillId="0" borderId="0" xfId="10" applyFont="1" applyAlignment="1">
      <alignment vertical="center" textRotation="255"/>
    </xf>
    <xf numFmtId="0" fontId="10" fillId="0" borderId="0" xfId="10" applyFont="1" applyAlignment="1">
      <alignment vertical="center" textRotation="255"/>
    </xf>
    <xf numFmtId="0" fontId="3" fillId="0" borderId="0" xfId="10" applyAlignment="1">
      <alignment horizontal="center" vertical="center"/>
    </xf>
    <xf numFmtId="0" fontId="3" fillId="0" borderId="0" xfId="10" applyAlignment="1">
      <alignment horizontal="right" vertical="center"/>
    </xf>
    <xf numFmtId="0" fontId="5" fillId="0" borderId="0" xfId="10" applyFont="1" applyAlignment="1">
      <alignment horizontal="right" vertical="center"/>
    </xf>
    <xf numFmtId="3" fontId="10" fillId="0" borderId="0" xfId="10" applyNumberFormat="1" applyFont="1" applyAlignment="1">
      <alignment horizontal="center" vertical="center"/>
    </xf>
    <xf numFmtId="3" fontId="5" fillId="0" borderId="0" xfId="10" applyNumberFormat="1" applyFont="1" applyAlignment="1">
      <alignment horizontal="right" vertical="center"/>
    </xf>
    <xf numFmtId="0" fontId="5" fillId="0" borderId="0" xfId="10" applyFont="1" applyAlignment="1">
      <alignment horizontal="center" vertical="center"/>
    </xf>
    <xf numFmtId="0" fontId="10" fillId="0" borderId="0" xfId="10" applyFont="1" applyAlignment="1">
      <alignment horizontal="right" vertical="center"/>
    </xf>
    <xf numFmtId="0" fontId="10" fillId="0" borderId="0" xfId="10" applyFont="1" applyAlignment="1">
      <alignment horizontal="center" vertical="center"/>
    </xf>
    <xf numFmtId="3" fontId="10" fillId="0" borderId="0" xfId="10" applyNumberFormat="1" applyFont="1" applyAlignment="1">
      <alignment horizontal="right" vertical="center"/>
    </xf>
    <xf numFmtId="0" fontId="10" fillId="0" borderId="0" xfId="10" applyFont="1" applyAlignment="1">
      <alignment horizontal="left" vertical="center"/>
    </xf>
    <xf numFmtId="0" fontId="3" fillId="0" borderId="0" xfId="10" applyAlignment="1">
      <alignment horizontal="left" vertical="center"/>
    </xf>
    <xf numFmtId="3" fontId="3" fillId="0" borderId="0" xfId="10" applyNumberFormat="1" applyAlignment="1">
      <alignment horizontal="left" vertical="center"/>
    </xf>
    <xf numFmtId="0" fontId="3" fillId="0" borderId="0" xfId="10" applyAlignment="1">
      <alignment vertical="center"/>
    </xf>
    <xf numFmtId="3" fontId="3" fillId="0" borderId="0" xfId="10" applyNumberFormat="1" applyAlignment="1">
      <alignment horizontal="right" vertical="center"/>
    </xf>
    <xf numFmtId="0" fontId="5" fillId="0" borderId="0" xfId="10" applyFont="1" applyAlignment="1">
      <alignment horizontal="left" vertical="center"/>
    </xf>
    <xf numFmtId="0" fontId="5" fillId="0" borderId="0" xfId="10" applyFont="1" applyAlignment="1">
      <alignment vertical="center"/>
    </xf>
    <xf numFmtId="0" fontId="2" fillId="0" borderId="0" xfId="10" applyFont="1" applyAlignment="1">
      <alignment vertical="center"/>
    </xf>
    <xf numFmtId="0" fontId="2" fillId="0" borderId="0" xfId="10" applyFont="1" applyAlignment="1">
      <alignment horizontal="left" vertical="center"/>
    </xf>
    <xf numFmtId="0" fontId="2" fillId="0" borderId="0" xfId="10" applyFont="1" applyAlignment="1">
      <alignment horizontal="center" vertical="center"/>
    </xf>
    <xf numFmtId="0" fontId="18" fillId="0" borderId="0" xfId="10" applyFont="1" applyAlignment="1">
      <alignment vertical="center"/>
    </xf>
    <xf numFmtId="0" fontId="18" fillId="0" borderId="8" xfId="10" applyFont="1" applyBorder="1" applyAlignment="1">
      <alignment vertical="center"/>
    </xf>
    <xf numFmtId="0" fontId="18" fillId="0" borderId="2" xfId="10" applyFont="1" applyBorder="1" applyAlignment="1">
      <alignment vertical="center"/>
    </xf>
    <xf numFmtId="0" fontId="3" fillId="0" borderId="2" xfId="10" applyBorder="1" applyAlignment="1">
      <alignment vertical="center"/>
    </xf>
    <xf numFmtId="0" fontId="3" fillId="0" borderId="7" xfId="10" applyBorder="1" applyAlignment="1">
      <alignment vertical="center"/>
    </xf>
    <xf numFmtId="0" fontId="18" fillId="0" borderId="3" xfId="10" applyFont="1" applyBorder="1" applyAlignment="1">
      <alignment vertical="center"/>
    </xf>
    <xf numFmtId="0" fontId="19" fillId="0" borderId="0" xfId="10" applyFont="1"/>
    <xf numFmtId="0" fontId="19" fillId="0" borderId="5" xfId="10" applyFont="1" applyBorder="1"/>
    <xf numFmtId="0" fontId="3" fillId="0" borderId="3" xfId="10" applyBorder="1" applyAlignment="1">
      <alignment vertical="center"/>
    </xf>
    <xf numFmtId="0" fontId="31" fillId="0" borderId="0" xfId="10" applyFont="1" applyAlignment="1">
      <alignment vertical="center"/>
    </xf>
    <xf numFmtId="0" fontId="20" fillId="0" borderId="0" xfId="10" applyFont="1" applyAlignment="1">
      <alignment vertical="center"/>
    </xf>
    <xf numFmtId="0" fontId="14" fillId="0" borderId="0" xfId="10" applyFont="1" applyAlignment="1">
      <alignment horizontal="center" vertical="top"/>
    </xf>
    <xf numFmtId="0" fontId="15" fillId="0" borderId="0" xfId="10" applyFont="1" applyAlignment="1">
      <alignment vertical="center"/>
    </xf>
    <xf numFmtId="0" fontId="12" fillId="0" borderId="0" xfId="10" applyFont="1"/>
    <xf numFmtId="0" fontId="11" fillId="0" borderId="5" xfId="10" applyFont="1" applyBorder="1"/>
    <xf numFmtId="0" fontId="3" fillId="0" borderId="5" xfId="10" applyBorder="1" applyAlignment="1">
      <alignment vertical="center"/>
    </xf>
    <xf numFmtId="0" fontId="13" fillId="0" borderId="0" xfId="10" applyFont="1" applyAlignment="1">
      <alignment vertical="center"/>
    </xf>
    <xf numFmtId="0" fontId="6" fillId="0" borderId="0" xfId="10" applyFont="1" applyAlignment="1">
      <alignment vertical="center"/>
    </xf>
    <xf numFmtId="0" fontId="13" fillId="0" borderId="0" xfId="10" applyFont="1" applyAlignment="1">
      <alignment horizontal="center" vertical="center"/>
    </xf>
    <xf numFmtId="0" fontId="6" fillId="0" borderId="0" xfId="10" applyFont="1"/>
    <xf numFmtId="0" fontId="13" fillId="0" borderId="0" xfId="10" applyFont="1" applyAlignment="1">
      <alignment horizontal="center" vertical="top"/>
    </xf>
    <xf numFmtId="0" fontId="21" fillId="0" borderId="0" xfId="10" applyFont="1" applyAlignment="1">
      <alignment vertical="center"/>
    </xf>
    <xf numFmtId="0" fontId="7" fillId="0" borderId="0" xfId="10" applyFont="1" applyAlignment="1">
      <alignment vertical="center"/>
    </xf>
    <xf numFmtId="0" fontId="23" fillId="0" borderId="3" xfId="10" applyFont="1" applyBorder="1"/>
    <xf numFmtId="0" fontId="23" fillId="0" borderId="6" xfId="10" applyFont="1" applyBorder="1"/>
    <xf numFmtId="0" fontId="16" fillId="0" borderId="0" xfId="10" applyFont="1" applyAlignment="1">
      <alignment horizontal="center" vertical="top"/>
    </xf>
    <xf numFmtId="0" fontId="15" fillId="0" borderId="5" xfId="10" applyFont="1" applyBorder="1" applyAlignment="1">
      <alignment horizontal="left" vertical="top"/>
    </xf>
    <xf numFmtId="0" fontId="3" fillId="0" borderId="0" xfId="10"/>
    <xf numFmtId="0" fontId="3" fillId="0" borderId="5" xfId="10" applyBorder="1"/>
    <xf numFmtId="0" fontId="20" fillId="0" borderId="3" xfId="10" applyFont="1" applyBorder="1" applyAlignment="1">
      <alignment vertical="center"/>
    </xf>
    <xf numFmtId="0" fontId="7" fillId="0" borderId="0" xfId="10" applyFont="1" applyAlignment="1">
      <alignment vertical="top"/>
    </xf>
    <xf numFmtId="0" fontId="24" fillId="0" borderId="0" xfId="10" applyFont="1" applyAlignment="1">
      <alignment vertical="top"/>
    </xf>
    <xf numFmtId="0" fontId="7" fillId="0" borderId="5" xfId="10" applyFont="1" applyBorder="1" applyAlignment="1">
      <alignment vertical="top"/>
    </xf>
    <xf numFmtId="0" fontId="25" fillId="0" borderId="0" xfId="2" applyFont="1" applyBorder="1" applyAlignment="1" applyProtection="1">
      <alignment vertical="center"/>
    </xf>
    <xf numFmtId="0" fontId="26" fillId="0" borderId="0" xfId="10" applyFont="1" applyAlignment="1">
      <alignment horizontal="center" vertical="center"/>
    </xf>
    <xf numFmtId="0" fontId="3" fillId="0" borderId="0" xfId="10" applyAlignment="1">
      <alignment horizontal="center"/>
    </xf>
    <xf numFmtId="0" fontId="11" fillId="0" borderId="0" xfId="10" applyFont="1" applyAlignment="1">
      <alignment horizontal="center"/>
    </xf>
    <xf numFmtId="0" fontId="12" fillId="0" borderId="5" xfId="10" applyFont="1" applyBorder="1"/>
    <xf numFmtId="0" fontId="15" fillId="0" borderId="3" xfId="10" applyFont="1" applyBorder="1" applyAlignment="1">
      <alignment vertical="center"/>
    </xf>
    <xf numFmtId="0" fontId="16" fillId="0" borderId="5" xfId="10" applyFont="1" applyBorder="1" applyAlignment="1">
      <alignment horizontal="center" vertical="top"/>
    </xf>
    <xf numFmtId="0" fontId="13" fillId="0" borderId="5" xfId="10" applyFont="1" applyBorder="1" applyAlignment="1">
      <alignment horizontal="center" vertical="center"/>
    </xf>
    <xf numFmtId="0" fontId="17" fillId="0" borderId="0" xfId="10" applyFont="1" applyAlignment="1">
      <alignment horizontal="center" vertical="center"/>
    </xf>
    <xf numFmtId="0" fontId="27" fillId="0" borderId="0" xfId="10" applyFont="1" applyAlignment="1">
      <alignment horizontal="center" vertical="center"/>
    </xf>
    <xf numFmtId="0" fontId="9" fillId="0" borderId="0" xfId="10" applyFont="1" applyAlignment="1">
      <alignment horizontal="center" vertical="center"/>
    </xf>
    <xf numFmtId="0" fontId="23" fillId="0" borderId="0" xfId="10" applyFont="1"/>
    <xf numFmtId="0" fontId="29" fillId="0" borderId="0" xfId="10" applyFont="1"/>
    <xf numFmtId="0" fontId="18" fillId="0" borderId="0" xfId="2" applyFont="1" applyBorder="1" applyAlignment="1" applyProtection="1">
      <alignment vertical="center"/>
    </xf>
    <xf numFmtId="0" fontId="6" fillId="0" borderId="4" xfId="10" applyFont="1" applyBorder="1" applyAlignment="1">
      <alignment vertical="center"/>
    </xf>
    <xf numFmtId="0" fontId="6" fillId="0" borderId="1" xfId="10" applyFont="1" applyBorder="1" applyAlignment="1">
      <alignment vertical="center"/>
    </xf>
    <xf numFmtId="0" fontId="6" fillId="0" borderId="6" xfId="10" applyFont="1" applyBorder="1" applyAlignment="1">
      <alignment vertical="center"/>
    </xf>
    <xf numFmtId="0" fontId="6" fillId="0" borderId="5" xfId="10" applyFont="1" applyBorder="1" applyAlignment="1">
      <alignment vertical="center"/>
    </xf>
    <xf numFmtId="0" fontId="6" fillId="0" borderId="0" xfId="10" applyFont="1" applyAlignment="1">
      <alignment vertical="center"/>
    </xf>
    <xf numFmtId="0" fontId="6" fillId="0" borderId="3" xfId="10" applyFont="1" applyBorder="1" applyAlignment="1">
      <alignment vertical="center"/>
    </xf>
    <xf numFmtId="0" fontId="6" fillId="0" borderId="7" xfId="10" applyFont="1" applyBorder="1" applyAlignment="1">
      <alignment vertical="center"/>
    </xf>
    <xf numFmtId="0" fontId="6" fillId="0" borderId="2" xfId="10" applyFont="1" applyBorder="1" applyAlignment="1">
      <alignment vertical="center"/>
    </xf>
    <xf numFmtId="0" fontId="6" fillId="0" borderId="8" xfId="10" applyFont="1" applyBorder="1" applyAlignment="1">
      <alignment vertical="center"/>
    </xf>
    <xf numFmtId="182" fontId="15" fillId="0" borderId="4" xfId="10" applyNumberFormat="1" applyFont="1" applyBorder="1" applyAlignment="1">
      <alignment horizontal="center" vertical="center"/>
    </xf>
    <xf numFmtId="182" fontId="3" fillId="0" borderId="1" xfId="10" applyNumberFormat="1" applyBorder="1" applyAlignment="1">
      <alignment horizontal="center" vertical="center"/>
    </xf>
    <xf numFmtId="182" fontId="3" fillId="0" borderId="6" xfId="10" applyNumberFormat="1" applyBorder="1" applyAlignment="1">
      <alignment horizontal="center" vertical="center"/>
    </xf>
    <xf numFmtId="182" fontId="3" fillId="0" borderId="5" xfId="10" applyNumberFormat="1" applyBorder="1" applyAlignment="1">
      <alignment horizontal="center" vertical="center"/>
    </xf>
    <xf numFmtId="182" fontId="3" fillId="0" borderId="0" xfId="10" applyNumberFormat="1" applyAlignment="1">
      <alignment horizontal="center" vertical="center"/>
    </xf>
    <xf numFmtId="182" fontId="3" fillId="0" borderId="3" xfId="10" applyNumberFormat="1" applyBorder="1" applyAlignment="1">
      <alignment horizontal="center" vertical="center"/>
    </xf>
    <xf numFmtId="182" fontId="3" fillId="0" borderId="7" xfId="10" applyNumberFormat="1" applyBorder="1" applyAlignment="1">
      <alignment horizontal="center" vertical="center"/>
    </xf>
    <xf numFmtId="182" fontId="3" fillId="0" borderId="2" xfId="10" applyNumberFormat="1" applyBorder="1" applyAlignment="1">
      <alignment horizontal="center" vertical="center"/>
    </xf>
    <xf numFmtId="182" fontId="3" fillId="0" borderId="8" xfId="10" applyNumberFormat="1" applyBorder="1" applyAlignment="1">
      <alignment horizontal="center" vertical="center"/>
    </xf>
    <xf numFmtId="6" fontId="33" fillId="0" borderId="4" xfId="10" applyNumberFormat="1" applyFont="1" applyBorder="1" applyAlignment="1">
      <alignment horizontal="center" vertical="center"/>
    </xf>
    <xf numFmtId="0" fontId="32" fillId="0" borderId="1" xfId="10" applyFont="1" applyBorder="1" applyAlignment="1">
      <alignment horizontal="center" vertical="center"/>
    </xf>
    <xf numFmtId="0" fontId="32" fillId="0" borderId="6" xfId="10" applyFont="1" applyBorder="1" applyAlignment="1">
      <alignment horizontal="center" vertical="center"/>
    </xf>
    <xf numFmtId="0" fontId="32" fillId="0" borderId="5" xfId="10" applyFont="1" applyBorder="1" applyAlignment="1">
      <alignment horizontal="center" vertical="center"/>
    </xf>
    <xf numFmtId="0" fontId="32" fillId="0" borderId="0" xfId="10" applyFont="1" applyAlignment="1">
      <alignment horizontal="center" vertical="center"/>
    </xf>
    <xf numFmtId="0" fontId="32" fillId="0" borderId="3" xfId="10" applyFont="1" applyBorder="1" applyAlignment="1">
      <alignment horizontal="center" vertical="center"/>
    </xf>
    <xf numFmtId="0" fontId="32" fillId="0" borderId="7" xfId="10" applyFont="1" applyBorder="1" applyAlignment="1">
      <alignment horizontal="center" vertical="center"/>
    </xf>
    <xf numFmtId="0" fontId="32" fillId="0" borderId="2" xfId="10" applyFont="1" applyBorder="1" applyAlignment="1">
      <alignment horizontal="center" vertical="center"/>
    </xf>
    <xf numFmtId="0" fontId="32" fillId="0" borderId="8" xfId="10" applyFont="1" applyBorder="1" applyAlignment="1">
      <alignment horizontal="center" vertical="center"/>
    </xf>
    <xf numFmtId="186" fontId="34" fillId="0" borderId="4" xfId="10" applyNumberFormat="1" applyFont="1" applyBorder="1" applyAlignment="1">
      <alignment horizontal="center" vertical="center"/>
    </xf>
    <xf numFmtId="186" fontId="34" fillId="0" borderId="1" xfId="10" applyNumberFormat="1" applyFont="1" applyBorder="1" applyAlignment="1">
      <alignment horizontal="center" vertical="center"/>
    </xf>
    <xf numFmtId="186" fontId="34" fillId="0" borderId="5" xfId="10" applyNumberFormat="1" applyFont="1" applyBorder="1" applyAlignment="1">
      <alignment horizontal="center" vertical="center"/>
    </xf>
    <xf numFmtId="186" fontId="34" fillId="0" borderId="0" xfId="10" applyNumberFormat="1" applyFont="1" applyAlignment="1">
      <alignment horizontal="center" vertical="center"/>
    </xf>
    <xf numFmtId="186" fontId="34" fillId="0" borderId="7" xfId="10" applyNumberFormat="1" applyFont="1" applyBorder="1" applyAlignment="1">
      <alignment horizontal="center" vertical="center"/>
    </xf>
    <xf numFmtId="186" fontId="34" fillId="0" borderId="2" xfId="10" applyNumberFormat="1" applyFont="1" applyBorder="1" applyAlignment="1">
      <alignment horizontal="center" vertical="center"/>
    </xf>
    <xf numFmtId="186" fontId="34" fillId="0" borderId="6" xfId="10" applyNumberFormat="1" applyFont="1" applyBorder="1" applyAlignment="1">
      <alignment horizontal="center" vertical="center"/>
    </xf>
    <xf numFmtId="186" fontId="34" fillId="0" borderId="3" xfId="10" applyNumberFormat="1" applyFont="1" applyBorder="1" applyAlignment="1">
      <alignment horizontal="center" vertical="center"/>
    </xf>
    <xf numFmtId="186" fontId="34" fillId="0" borderId="8" xfId="10" applyNumberFormat="1" applyFont="1" applyBorder="1" applyAlignment="1">
      <alignment horizontal="center" vertical="center"/>
    </xf>
    <xf numFmtId="0" fontId="15" fillId="0" borderId="1" xfId="10" applyFont="1" applyBorder="1" applyAlignment="1">
      <alignment horizontal="center" vertical="center"/>
    </xf>
    <xf numFmtId="0" fontId="15" fillId="0" borderId="0" xfId="10" applyFont="1" applyAlignment="1">
      <alignment horizontal="center" vertical="center"/>
    </xf>
    <xf numFmtId="0" fontId="15" fillId="0" borderId="2" xfId="10" applyFont="1" applyBorder="1" applyAlignment="1">
      <alignment horizontal="center" vertical="center"/>
    </xf>
    <xf numFmtId="186" fontId="3" fillId="0" borderId="0" xfId="10" applyNumberFormat="1" applyAlignment="1">
      <alignment horizontal="center" vertical="center"/>
    </xf>
    <xf numFmtId="186" fontId="3" fillId="0" borderId="3" xfId="10" applyNumberFormat="1" applyBorder="1" applyAlignment="1">
      <alignment horizontal="center" vertical="center"/>
    </xf>
    <xf numFmtId="0" fontId="28" fillId="0" borderId="4" xfId="10" applyFont="1" applyBorder="1" applyAlignment="1">
      <alignment horizontal="center" vertical="center"/>
    </xf>
    <xf numFmtId="0" fontId="24" fillId="0" borderId="1" xfId="10" applyFont="1" applyBorder="1" applyAlignment="1">
      <alignment horizontal="center" vertical="center"/>
    </xf>
    <xf numFmtId="0" fontId="24" fillId="0" borderId="6" xfId="10" applyFont="1" applyBorder="1" applyAlignment="1">
      <alignment horizontal="center" vertical="center"/>
    </xf>
    <xf numFmtId="0" fontId="24" fillId="0" borderId="5" xfId="10" applyFont="1" applyBorder="1" applyAlignment="1">
      <alignment horizontal="center" vertical="center"/>
    </xf>
    <xf numFmtId="0" fontId="24" fillId="0" borderId="0" xfId="10" applyFont="1" applyAlignment="1">
      <alignment horizontal="center" vertical="center"/>
    </xf>
    <xf numFmtId="0" fontId="24" fillId="0" borderId="3" xfId="10" applyFont="1" applyBorder="1" applyAlignment="1">
      <alignment horizontal="center" vertical="center"/>
    </xf>
    <xf numFmtId="0" fontId="5" fillId="0" borderId="2" xfId="10" applyFont="1" applyBorder="1" applyAlignment="1">
      <alignment horizontal="right" vertical="center"/>
    </xf>
    <xf numFmtId="0" fontId="3" fillId="0" borderId="2" xfId="10" applyBorder="1" applyAlignment="1">
      <alignment vertical="center"/>
    </xf>
    <xf numFmtId="0" fontId="32" fillId="0" borderId="4" xfId="10" applyFont="1" applyBorder="1" applyAlignment="1">
      <alignment horizontal="center" vertical="center" wrapText="1"/>
    </xf>
    <xf numFmtId="0" fontId="32" fillId="0" borderId="4" xfId="10" applyFont="1" applyBorder="1" applyAlignment="1">
      <alignment horizontal="center" vertical="center"/>
    </xf>
  </cellXfs>
  <cellStyles count="13">
    <cellStyle name="パーセント 2" xfId="1" xr:uid="{00000000-0005-0000-0000-000001000000}"/>
    <cellStyle name="ハイパーリンク 2" xfId="2" xr:uid="{00000000-0005-0000-0000-000002000000}"/>
    <cellStyle name="一般_EURBFA" xfId="3" xr:uid="{00000000-0005-0000-0000-000003000000}"/>
    <cellStyle name="貨幣[0]_EURBFA" xfId="4" xr:uid="{00000000-0005-0000-0000-000004000000}"/>
    <cellStyle name="貨幣_EURBFA" xfId="5" xr:uid="{00000000-0005-0000-0000-000005000000}"/>
    <cellStyle name="桁区切り 2" xfId="6" xr:uid="{00000000-0005-0000-0000-000006000000}"/>
    <cellStyle name="千分位[0]_EURBFA" xfId="7" xr:uid="{00000000-0005-0000-0000-000007000000}"/>
    <cellStyle name="千分位_EURBFA" xfId="8" xr:uid="{00000000-0005-0000-0000-000008000000}"/>
    <cellStyle name="通貨 2" xfId="9" xr:uid="{00000000-0005-0000-0000-000009000000}"/>
    <cellStyle name="標準" xfId="0" builtinId="0"/>
    <cellStyle name="標準 2" xfId="10" xr:uid="{00000000-0005-0000-0000-00000B000000}"/>
    <cellStyle name="標準 3" xfId="11" xr:uid="{00000000-0005-0000-0000-00000C000000}"/>
    <cellStyle name="未定義" xfId="1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6</xdr:row>
      <xdr:rowOff>76200</xdr:rowOff>
    </xdr:from>
    <xdr:to>
      <xdr:col>26</xdr:col>
      <xdr:colOff>158750</xdr:colOff>
      <xdr:row>10</xdr:row>
      <xdr:rowOff>177800</xdr:rowOff>
    </xdr:to>
    <xdr:pic>
      <xdr:nvPicPr>
        <xdr:cNvPr id="11295" name="図 1">
          <a:extLst>
            <a:ext uri="{FF2B5EF4-FFF2-40B4-BE49-F238E27FC236}">
              <a16:creationId xmlns:a16="http://schemas.microsoft.com/office/drawing/2014/main" id="{00000000-0008-0000-0700-00001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371600"/>
          <a:ext cx="9588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165100</xdr:colOff>
      <xdr:row>5</xdr:row>
      <xdr:rowOff>203200</xdr:rowOff>
    </xdr:from>
    <xdr:to>
      <xdr:col>27</xdr:col>
      <xdr:colOff>40840</xdr:colOff>
      <xdr:row>10</xdr:row>
      <xdr:rowOff>133350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3835400" y="990600"/>
          <a:ext cx="2034740" cy="793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800"/>
            </a:lnSpc>
          </a:pP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 b="0">
              <a:latin typeface="+mj-ea"/>
              <a:ea typeface="+mj-ea"/>
            </a:rPr>
            <a:t>東京都品川区北品川</a:t>
          </a:r>
          <a:r>
            <a:rPr kumimoji="1" lang="en-US" altLang="ja-JP" sz="1000" b="0">
              <a:latin typeface="+mj-ea"/>
              <a:ea typeface="+mj-ea"/>
            </a:rPr>
            <a:t>6-7-29</a:t>
          </a:r>
        </a:p>
        <a:p>
          <a:pPr algn="l">
            <a:lnSpc>
              <a:spcPts val="1200"/>
            </a:lnSpc>
          </a:pPr>
          <a:r>
            <a:rPr kumimoji="1" lang="ja-JP" altLang="en-US" sz="1000" b="0">
              <a:latin typeface="+mj-ea"/>
              <a:ea typeface="+mj-ea"/>
            </a:rPr>
            <a:t>ガーデンシティ品川御殿山</a:t>
          </a:r>
        </a:p>
        <a:p>
          <a:pPr algn="l">
            <a:lnSpc>
              <a:spcPts val="1500"/>
            </a:lnSpc>
          </a:pPr>
          <a:r>
            <a:rPr kumimoji="1" lang="ja-JP" altLang="en-US" sz="1000" b="0">
              <a:latin typeface="+mj-ea"/>
              <a:ea typeface="+mj-ea"/>
            </a:rPr>
            <a:t>菱熱工業 菱熱工業株式会社</a:t>
          </a:r>
          <a:endParaRPr kumimoji="1" lang="en-US" altLang="ja-JP" sz="1000" b="0">
            <a:latin typeface="+mj-ea"/>
            <a:ea typeface="+mj-ea"/>
          </a:endParaRPr>
        </a:p>
        <a:p>
          <a:pPr algn="l">
            <a:lnSpc>
              <a:spcPts val="1400"/>
            </a:lnSpc>
          </a:pPr>
          <a:r>
            <a:rPr kumimoji="1" lang="ja-JP" altLang="en-US" sz="800" b="0">
              <a:latin typeface="+mj-ea"/>
              <a:ea typeface="+mj-ea"/>
            </a:rPr>
            <a:t>代表取締役社長</a:t>
          </a:r>
          <a:r>
            <a:rPr kumimoji="1" lang="ja-JP" altLang="en-US" sz="1000" b="0">
              <a:latin typeface="+mj-ea"/>
              <a:ea typeface="+mj-ea"/>
            </a:rPr>
            <a:t>　　</a:t>
          </a:r>
          <a:r>
            <a:rPr kumimoji="1" lang="ja-JP" altLang="en-US" sz="1050" b="0">
              <a:latin typeface="+mj-ea"/>
              <a:ea typeface="+mj-ea"/>
            </a:rPr>
            <a:t>近藤　貢</a:t>
          </a:r>
          <a:r>
            <a:rPr kumimoji="1" lang="ja-JP" altLang="en-US" sz="1000" b="0">
              <a:latin typeface="+mj-ea"/>
              <a:ea typeface="+mj-ea"/>
            </a:rPr>
            <a:t>　㊞　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_svr01\k_drive\99_09g\Job\&#12458;&#12479;&#12501;&#12463;&#12477;&#12540;&#12473;\&#38651;&#27671;\&#29031;&#24230;&#35336;&#316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屋条件"/>
    </sheetNames>
    <sheetDataSet>
      <sheetData sheetId="0" refreshError="1">
        <row r="1">
          <cell r="A1" t="str">
            <v>No</v>
          </cell>
          <cell r="B1" t="str">
            <v>階</v>
          </cell>
          <cell r="C1" t="str">
            <v>室名</v>
          </cell>
          <cell r="D1" t="str">
            <v>必要照度</v>
          </cell>
          <cell r="E1" t="str">
            <v>照明器具</v>
          </cell>
          <cell r="F1" t="str">
            <v>ランプ種別</v>
          </cell>
          <cell r="G1" t="str">
            <v>ランプ定格</v>
          </cell>
          <cell r="H1" t="str">
            <v>ランプ本数</v>
          </cell>
          <cell r="I1" t="str">
            <v>間口</v>
          </cell>
          <cell r="J1" t="str">
            <v>奥行</v>
          </cell>
          <cell r="K1" t="str">
            <v>天井高</v>
          </cell>
          <cell r="L1" t="str">
            <v>作業面高</v>
          </cell>
        </row>
        <row r="2">
          <cell r="A2">
            <v>1</v>
          </cell>
          <cell r="B2" t="str">
            <v>工場ｴﾘｱ（荷受ｿﾞｰﾝ）</v>
          </cell>
          <cell r="C2" t="str">
            <v>荷受室</v>
          </cell>
          <cell r="D2">
            <v>150</v>
          </cell>
          <cell r="E2">
            <v>9</v>
          </cell>
          <cell r="F2" t="str">
            <v>HF</v>
          </cell>
          <cell r="G2">
            <v>200</v>
          </cell>
          <cell r="H2">
            <v>1</v>
          </cell>
          <cell r="I2">
            <v>18</v>
          </cell>
          <cell r="J2">
            <v>30</v>
          </cell>
          <cell r="K2">
            <v>7</v>
          </cell>
          <cell r="L2">
            <v>0</v>
          </cell>
        </row>
        <row r="3">
          <cell r="A3">
            <v>2</v>
          </cell>
          <cell r="B3" t="str">
            <v>工場ｴﾘｱ（荷受ｿﾞｰﾝ）</v>
          </cell>
          <cell r="C3" t="str">
            <v>同上庇部</v>
          </cell>
          <cell r="D3">
            <v>100</v>
          </cell>
          <cell r="E3">
            <v>9</v>
          </cell>
          <cell r="F3" t="str">
            <v>HF</v>
          </cell>
          <cell r="G3">
            <v>100</v>
          </cell>
          <cell r="H3">
            <v>1</v>
          </cell>
          <cell r="I3">
            <v>18</v>
          </cell>
          <cell r="J3">
            <v>4.8</v>
          </cell>
          <cell r="K3">
            <v>7</v>
          </cell>
          <cell r="L3">
            <v>0</v>
          </cell>
        </row>
        <row r="4">
          <cell r="A4">
            <v>3</v>
          </cell>
          <cell r="B4" t="str">
            <v>工場ｴﾘｱ（荷受ｿﾞｰﾝ）</v>
          </cell>
          <cell r="C4" t="str">
            <v>低温倉庫</v>
          </cell>
          <cell r="D4">
            <v>100</v>
          </cell>
          <cell r="E4">
            <v>9</v>
          </cell>
          <cell r="F4" t="str">
            <v>FL</v>
          </cell>
          <cell r="G4">
            <v>40</v>
          </cell>
          <cell r="H4">
            <v>2</v>
          </cell>
          <cell r="I4">
            <v>30</v>
          </cell>
          <cell r="J4">
            <v>32</v>
          </cell>
          <cell r="K4">
            <v>7</v>
          </cell>
          <cell r="L4">
            <v>0</v>
          </cell>
        </row>
        <row r="5">
          <cell r="A5">
            <v>4</v>
          </cell>
          <cell r="B5" t="str">
            <v>工場ｴﾘｱ（精米ｿﾞｰﾝ）</v>
          </cell>
          <cell r="C5" t="str">
            <v>玄米・精選室</v>
          </cell>
          <cell r="D5">
            <v>300</v>
          </cell>
          <cell r="E5">
            <v>9</v>
          </cell>
          <cell r="F5" t="str">
            <v>HF</v>
          </cell>
          <cell r="G5">
            <v>250</v>
          </cell>
          <cell r="H5">
            <v>1</v>
          </cell>
          <cell r="I5">
            <v>19.2</v>
          </cell>
          <cell r="J5">
            <v>25</v>
          </cell>
          <cell r="K5">
            <v>14</v>
          </cell>
          <cell r="L5">
            <v>0.7</v>
          </cell>
        </row>
        <row r="6">
          <cell r="A6">
            <v>5</v>
          </cell>
          <cell r="B6" t="str">
            <v>工場ｴﾘｱ（精米ｿﾞｰﾝ）</v>
          </cell>
          <cell r="C6" t="str">
            <v>精米・精選室</v>
          </cell>
          <cell r="D6">
            <v>300</v>
          </cell>
          <cell r="E6">
            <v>9</v>
          </cell>
          <cell r="F6" t="str">
            <v>HF</v>
          </cell>
          <cell r="G6">
            <v>250</v>
          </cell>
          <cell r="H6">
            <v>1</v>
          </cell>
          <cell r="I6">
            <v>19.2</v>
          </cell>
          <cell r="J6">
            <v>25</v>
          </cell>
          <cell r="K6">
            <v>14</v>
          </cell>
          <cell r="L6">
            <v>0.7</v>
          </cell>
        </row>
        <row r="7">
          <cell r="A7">
            <v>6</v>
          </cell>
          <cell r="B7" t="str">
            <v>工場ｴﾘｱ（精米ｿﾞｰﾝ）</v>
          </cell>
          <cell r="C7" t="str">
            <v>精米タンク室</v>
          </cell>
          <cell r="D7">
            <v>100</v>
          </cell>
          <cell r="E7">
            <v>9</v>
          </cell>
          <cell r="F7" t="str">
            <v>HF</v>
          </cell>
          <cell r="G7">
            <v>250</v>
          </cell>
          <cell r="H7">
            <v>1</v>
          </cell>
          <cell r="I7">
            <v>9.6</v>
          </cell>
          <cell r="J7">
            <v>25</v>
          </cell>
          <cell r="K7">
            <v>14</v>
          </cell>
          <cell r="L7">
            <v>0</v>
          </cell>
        </row>
        <row r="8">
          <cell r="A8">
            <v>7</v>
          </cell>
          <cell r="B8" t="str">
            <v>工場ｴﾘｱ（精米ｿﾞｰﾝ）</v>
          </cell>
          <cell r="C8" t="str">
            <v>糠出荷場</v>
          </cell>
          <cell r="D8">
            <v>200</v>
          </cell>
          <cell r="E8">
            <v>6</v>
          </cell>
          <cell r="F8" t="str">
            <v>FL</v>
          </cell>
          <cell r="G8">
            <v>40</v>
          </cell>
          <cell r="H8">
            <v>2</v>
          </cell>
          <cell r="I8">
            <v>9.6</v>
          </cell>
          <cell r="J8">
            <v>16</v>
          </cell>
          <cell r="K8">
            <v>6</v>
          </cell>
          <cell r="L8">
            <v>0</v>
          </cell>
        </row>
        <row r="9">
          <cell r="A9">
            <v>8</v>
          </cell>
          <cell r="B9" t="str">
            <v>工場ｴﾘｱ（精米ｿﾞｰﾝ）</v>
          </cell>
          <cell r="C9" t="str">
            <v>除糠水処理室</v>
          </cell>
          <cell r="D9">
            <v>200</v>
          </cell>
          <cell r="E9">
            <v>6</v>
          </cell>
          <cell r="F9" t="str">
            <v>FL</v>
          </cell>
          <cell r="G9">
            <v>40</v>
          </cell>
          <cell r="H9">
            <v>2</v>
          </cell>
          <cell r="I9">
            <v>9.6</v>
          </cell>
          <cell r="J9">
            <v>16</v>
          </cell>
          <cell r="K9">
            <v>5</v>
          </cell>
          <cell r="L9">
            <v>0</v>
          </cell>
        </row>
        <row r="10">
          <cell r="A10">
            <v>9</v>
          </cell>
          <cell r="B10" t="str">
            <v>工場ｴﾘｱ（精米ｿﾞｰﾝ）</v>
          </cell>
          <cell r="C10" t="str">
            <v>無精米室</v>
          </cell>
          <cell r="D10">
            <v>300</v>
          </cell>
          <cell r="E10">
            <v>9</v>
          </cell>
          <cell r="F10" t="str">
            <v>HF</v>
          </cell>
          <cell r="G10">
            <v>250</v>
          </cell>
          <cell r="H10">
            <v>1</v>
          </cell>
          <cell r="I10">
            <v>28.8</v>
          </cell>
          <cell r="J10">
            <v>16</v>
          </cell>
          <cell r="K10">
            <v>14</v>
          </cell>
          <cell r="L10">
            <v>0.7</v>
          </cell>
        </row>
        <row r="11">
          <cell r="A11">
            <v>10</v>
          </cell>
          <cell r="B11" t="str">
            <v>工場ｴﾘｱ（精米ｿﾞｰﾝ）</v>
          </cell>
          <cell r="C11" t="str">
            <v>ﾊﾞｯｸﾌｨﾙﾀ室</v>
          </cell>
          <cell r="D11">
            <v>200</v>
          </cell>
          <cell r="E11">
            <v>6</v>
          </cell>
          <cell r="F11" t="str">
            <v>FL</v>
          </cell>
          <cell r="G11">
            <v>40</v>
          </cell>
          <cell r="H11">
            <v>2</v>
          </cell>
          <cell r="I11">
            <v>9.6</v>
          </cell>
          <cell r="J11">
            <v>25</v>
          </cell>
          <cell r="K11">
            <v>9</v>
          </cell>
          <cell r="L11">
            <v>0</v>
          </cell>
        </row>
        <row r="12">
          <cell r="A12">
            <v>11</v>
          </cell>
          <cell r="B12" t="str">
            <v>工場ｴﾘｱ（精米ｿﾞｰﾝ）</v>
          </cell>
          <cell r="C12" t="str">
            <v>糠室</v>
          </cell>
          <cell r="D12">
            <v>200</v>
          </cell>
          <cell r="E12">
            <v>6</v>
          </cell>
          <cell r="F12" t="str">
            <v>HF</v>
          </cell>
          <cell r="G12">
            <v>200</v>
          </cell>
          <cell r="H12">
            <v>1</v>
          </cell>
          <cell r="I12">
            <v>9.6</v>
          </cell>
          <cell r="J12">
            <v>25</v>
          </cell>
          <cell r="K12">
            <v>8</v>
          </cell>
          <cell r="L12">
            <v>0</v>
          </cell>
        </row>
        <row r="13">
          <cell r="A13">
            <v>12</v>
          </cell>
          <cell r="B13" t="str">
            <v>工場ｴﾘｱ（計量・包装・出荷ｿﾞｰﾝ）</v>
          </cell>
          <cell r="C13" t="str">
            <v>計量・包装・出荷室</v>
          </cell>
          <cell r="D13">
            <v>300</v>
          </cell>
          <cell r="E13">
            <v>9</v>
          </cell>
          <cell r="F13" t="str">
            <v>HF</v>
          </cell>
          <cell r="G13">
            <v>250</v>
          </cell>
          <cell r="H13">
            <v>1</v>
          </cell>
          <cell r="I13">
            <v>48</v>
          </cell>
          <cell r="J13">
            <v>40</v>
          </cell>
          <cell r="K13">
            <v>12.1</v>
          </cell>
          <cell r="L13">
            <v>0.7</v>
          </cell>
        </row>
        <row r="14">
          <cell r="A14">
            <v>13</v>
          </cell>
          <cell r="B14" t="str">
            <v>工場ｴﾘｱ（計量・包装・出荷ｿﾞｰﾝ）</v>
          </cell>
          <cell r="C14" t="str">
            <v>同上庇部</v>
          </cell>
          <cell r="D14">
            <v>100</v>
          </cell>
          <cell r="E14">
            <v>9</v>
          </cell>
          <cell r="F14" t="str">
            <v>HF</v>
          </cell>
          <cell r="G14">
            <v>250</v>
          </cell>
          <cell r="H14">
            <v>1</v>
          </cell>
          <cell r="I14">
            <v>20</v>
          </cell>
          <cell r="J14">
            <v>15</v>
          </cell>
          <cell r="K14">
            <v>12.1</v>
          </cell>
          <cell r="L14">
            <v>0</v>
          </cell>
        </row>
        <row r="15">
          <cell r="A15">
            <v>14</v>
          </cell>
          <cell r="B15" t="str">
            <v>工場ｴﾘｱ（計量・包装・出荷ｿﾞｰﾝ）</v>
          </cell>
          <cell r="C15" t="str">
            <v>事務室</v>
          </cell>
          <cell r="D15">
            <v>500</v>
          </cell>
          <cell r="E15">
            <v>6</v>
          </cell>
          <cell r="F15" t="str">
            <v>FL</v>
          </cell>
          <cell r="G15">
            <v>40</v>
          </cell>
          <cell r="H15">
            <v>2</v>
          </cell>
          <cell r="I15">
            <v>6.5</v>
          </cell>
          <cell r="J15">
            <v>10</v>
          </cell>
          <cell r="K15">
            <v>2.4</v>
          </cell>
          <cell r="L15">
            <v>0.7</v>
          </cell>
        </row>
        <row r="16">
          <cell r="A16">
            <v>15</v>
          </cell>
          <cell r="B16" t="str">
            <v>工場ｴﾘｱ（計量・包装・出荷ｿﾞｰﾝ）</v>
          </cell>
          <cell r="C16" t="str">
            <v>受変電・ｺﾝﾌﾟﾚｯｻ室</v>
          </cell>
          <cell r="D16">
            <v>200</v>
          </cell>
          <cell r="E16">
            <v>5</v>
          </cell>
          <cell r="F16" t="str">
            <v>FL</v>
          </cell>
          <cell r="G16">
            <v>40</v>
          </cell>
          <cell r="H16">
            <v>2</v>
          </cell>
          <cell r="I16">
            <v>20</v>
          </cell>
          <cell r="J16">
            <v>10</v>
          </cell>
          <cell r="K16">
            <v>6</v>
          </cell>
          <cell r="L16">
            <v>0</v>
          </cell>
        </row>
        <row r="17">
          <cell r="A17">
            <v>16</v>
          </cell>
          <cell r="B17" t="str">
            <v>倉庫ｴﾘｱ1F</v>
          </cell>
          <cell r="C17" t="str">
            <v>倉庫（常温品）</v>
          </cell>
          <cell r="D17">
            <v>200</v>
          </cell>
          <cell r="E17">
            <v>5</v>
          </cell>
          <cell r="F17" t="str">
            <v>FL</v>
          </cell>
          <cell r="G17">
            <v>40</v>
          </cell>
          <cell r="H17">
            <v>2</v>
          </cell>
          <cell r="I17">
            <v>41.6</v>
          </cell>
          <cell r="J17">
            <v>43.4</v>
          </cell>
          <cell r="K17">
            <v>5</v>
          </cell>
          <cell r="L17">
            <v>0</v>
          </cell>
        </row>
        <row r="18">
          <cell r="A18">
            <v>17</v>
          </cell>
          <cell r="B18" t="str">
            <v>倉庫ｴﾘｱ1F</v>
          </cell>
          <cell r="C18" t="str">
            <v>倉庫（虫発生品）</v>
          </cell>
          <cell r="D18">
            <v>200</v>
          </cell>
          <cell r="E18">
            <v>5</v>
          </cell>
          <cell r="F18" t="str">
            <v>FL</v>
          </cell>
          <cell r="G18">
            <v>40</v>
          </cell>
          <cell r="H18">
            <v>2</v>
          </cell>
          <cell r="I18">
            <v>20.8</v>
          </cell>
          <cell r="J18">
            <v>33.4</v>
          </cell>
          <cell r="K18">
            <v>5</v>
          </cell>
          <cell r="L18">
            <v>0</v>
          </cell>
        </row>
        <row r="19">
          <cell r="A19">
            <v>18</v>
          </cell>
          <cell r="B19" t="str">
            <v>倉庫ｴﾘｱ1F</v>
          </cell>
          <cell r="C19" t="str">
            <v>倉庫（卵）</v>
          </cell>
          <cell r="D19">
            <v>200</v>
          </cell>
          <cell r="E19">
            <v>5</v>
          </cell>
          <cell r="F19" t="str">
            <v>FL</v>
          </cell>
          <cell r="G19">
            <v>40</v>
          </cell>
          <cell r="H19">
            <v>2</v>
          </cell>
          <cell r="I19">
            <v>20.8</v>
          </cell>
          <cell r="J19">
            <v>10</v>
          </cell>
          <cell r="K19">
            <v>3.5</v>
          </cell>
          <cell r="L19">
            <v>0</v>
          </cell>
        </row>
        <row r="20">
          <cell r="A20">
            <v>19</v>
          </cell>
          <cell r="B20" t="str">
            <v>倉庫ｴﾘｱ1F</v>
          </cell>
          <cell r="C20" t="str">
            <v>倉庫（小麦開袋）</v>
          </cell>
          <cell r="D20">
            <v>200</v>
          </cell>
          <cell r="E20">
            <v>5</v>
          </cell>
          <cell r="F20" t="str">
            <v>FL</v>
          </cell>
          <cell r="G20">
            <v>40</v>
          </cell>
          <cell r="H20">
            <v>2</v>
          </cell>
          <cell r="I20">
            <v>26</v>
          </cell>
          <cell r="J20">
            <v>12</v>
          </cell>
          <cell r="K20">
            <v>3.5</v>
          </cell>
          <cell r="L20">
            <v>0</v>
          </cell>
        </row>
        <row r="21">
          <cell r="A21">
            <v>20</v>
          </cell>
          <cell r="B21" t="str">
            <v>倉庫ｴﾘｱ1F</v>
          </cell>
          <cell r="C21" t="str">
            <v>倉庫（冷凍）</v>
          </cell>
          <cell r="D21">
            <v>200</v>
          </cell>
          <cell r="E21">
            <v>5</v>
          </cell>
          <cell r="F21" t="str">
            <v>FL</v>
          </cell>
          <cell r="G21">
            <v>40</v>
          </cell>
          <cell r="H21">
            <v>2</v>
          </cell>
          <cell r="I21">
            <v>9</v>
          </cell>
          <cell r="J21">
            <v>12</v>
          </cell>
          <cell r="K21">
            <v>3.5</v>
          </cell>
          <cell r="L21">
            <v>0</v>
          </cell>
        </row>
        <row r="22">
          <cell r="A22">
            <v>21</v>
          </cell>
          <cell r="B22" t="str">
            <v>倉庫ｴﾘｱ1F</v>
          </cell>
          <cell r="C22" t="str">
            <v>事務室</v>
          </cell>
          <cell r="D22">
            <v>500</v>
          </cell>
          <cell r="E22">
            <v>6</v>
          </cell>
          <cell r="F22" t="str">
            <v>FL</v>
          </cell>
          <cell r="G22">
            <v>40</v>
          </cell>
          <cell r="H22">
            <v>2</v>
          </cell>
          <cell r="I22">
            <v>8</v>
          </cell>
          <cell r="J22">
            <v>12</v>
          </cell>
          <cell r="K22">
            <v>3.5</v>
          </cell>
          <cell r="L22">
            <v>0.7</v>
          </cell>
        </row>
        <row r="23">
          <cell r="A23">
            <v>22</v>
          </cell>
          <cell r="B23" t="str">
            <v>倉庫ｴﾘｱ1F</v>
          </cell>
          <cell r="C23" t="str">
            <v>荷捌きｽﾍﾟｰｽ</v>
          </cell>
          <cell r="D23">
            <v>200</v>
          </cell>
          <cell r="E23">
            <v>5</v>
          </cell>
          <cell r="F23" t="str">
            <v>FL</v>
          </cell>
          <cell r="G23">
            <v>40</v>
          </cell>
          <cell r="H23">
            <v>2</v>
          </cell>
          <cell r="I23">
            <v>11.6</v>
          </cell>
          <cell r="J23">
            <v>62.4</v>
          </cell>
          <cell r="K23">
            <v>5</v>
          </cell>
          <cell r="L23">
            <v>0</v>
          </cell>
        </row>
        <row r="24">
          <cell r="A24">
            <v>23</v>
          </cell>
          <cell r="B24" t="str">
            <v>倉庫ｴﾘｱ1F</v>
          </cell>
          <cell r="C24" t="str">
            <v>廊下</v>
          </cell>
          <cell r="D24">
            <v>150</v>
          </cell>
          <cell r="E24">
            <v>6</v>
          </cell>
          <cell r="F24" t="str">
            <v>FL</v>
          </cell>
          <cell r="G24">
            <v>40</v>
          </cell>
          <cell r="H24">
            <v>2</v>
          </cell>
          <cell r="I24">
            <v>4</v>
          </cell>
          <cell r="J24">
            <v>55</v>
          </cell>
          <cell r="K24">
            <v>3.5</v>
          </cell>
          <cell r="L24">
            <v>0</v>
          </cell>
        </row>
        <row r="25">
          <cell r="A25">
            <v>24</v>
          </cell>
          <cell r="B25" t="str">
            <v>倉庫ｴﾘｱ2F</v>
          </cell>
          <cell r="C25" t="str">
            <v>倉庫（ﾚｰｽﾞﾝ）</v>
          </cell>
          <cell r="D25">
            <v>200</v>
          </cell>
          <cell r="E25">
            <v>5</v>
          </cell>
          <cell r="F25" t="str">
            <v>FL</v>
          </cell>
          <cell r="G25">
            <v>40</v>
          </cell>
          <cell r="H25">
            <v>2</v>
          </cell>
          <cell r="I25">
            <v>8</v>
          </cell>
          <cell r="J25">
            <v>12</v>
          </cell>
          <cell r="K25">
            <v>3.5</v>
          </cell>
          <cell r="L25">
            <v>0</v>
          </cell>
        </row>
        <row r="26">
          <cell r="A26">
            <v>25</v>
          </cell>
          <cell r="B26" t="str">
            <v>倉庫ｴﾘｱ2F</v>
          </cell>
          <cell r="C26" t="str">
            <v>倉庫（ﾚｰｽﾞﾝ加工）</v>
          </cell>
          <cell r="D26">
            <v>200</v>
          </cell>
          <cell r="E26">
            <v>5</v>
          </cell>
          <cell r="F26" t="str">
            <v>FL</v>
          </cell>
          <cell r="G26">
            <v>40</v>
          </cell>
          <cell r="H26">
            <v>2</v>
          </cell>
          <cell r="I26">
            <v>9.5</v>
          </cell>
          <cell r="J26">
            <v>12</v>
          </cell>
          <cell r="K26">
            <v>3.5</v>
          </cell>
          <cell r="L26">
            <v>0</v>
          </cell>
        </row>
        <row r="27">
          <cell r="A27">
            <v>26</v>
          </cell>
          <cell r="B27" t="str">
            <v>倉庫ｴﾘｱ2F</v>
          </cell>
          <cell r="C27" t="str">
            <v>倉庫（ｸﾙﾐ加工）</v>
          </cell>
          <cell r="D27">
            <v>200</v>
          </cell>
          <cell r="E27">
            <v>5</v>
          </cell>
          <cell r="F27" t="str">
            <v>FL</v>
          </cell>
          <cell r="G27">
            <v>40</v>
          </cell>
          <cell r="H27">
            <v>2</v>
          </cell>
          <cell r="I27">
            <v>9.5</v>
          </cell>
          <cell r="J27">
            <v>12</v>
          </cell>
          <cell r="K27">
            <v>3.5</v>
          </cell>
          <cell r="L27">
            <v>0</v>
          </cell>
        </row>
        <row r="28">
          <cell r="A28">
            <v>27</v>
          </cell>
          <cell r="B28" t="str">
            <v>倉庫ｴﾘｱ2F</v>
          </cell>
          <cell r="C28" t="str">
            <v>倉庫（ｸﾙﾐ）</v>
          </cell>
          <cell r="D28">
            <v>200</v>
          </cell>
          <cell r="E28">
            <v>5</v>
          </cell>
          <cell r="F28" t="str">
            <v>FL</v>
          </cell>
          <cell r="G28">
            <v>40</v>
          </cell>
          <cell r="H28">
            <v>2</v>
          </cell>
          <cell r="I28">
            <v>13.5</v>
          </cell>
          <cell r="J28">
            <v>12</v>
          </cell>
          <cell r="K28">
            <v>3.5</v>
          </cell>
          <cell r="L28">
            <v>0</v>
          </cell>
        </row>
        <row r="29">
          <cell r="A29">
            <v>28</v>
          </cell>
          <cell r="B29" t="str">
            <v>倉庫ｴﾘｱ2F</v>
          </cell>
          <cell r="C29" t="str">
            <v>倉庫（ﾁｮｺﾚｰﾄ）</v>
          </cell>
          <cell r="D29">
            <v>200</v>
          </cell>
          <cell r="E29">
            <v>5</v>
          </cell>
          <cell r="F29" t="str">
            <v>FL</v>
          </cell>
          <cell r="G29">
            <v>40</v>
          </cell>
          <cell r="H29">
            <v>2</v>
          </cell>
          <cell r="I29">
            <v>5.5</v>
          </cell>
          <cell r="J29">
            <v>12</v>
          </cell>
          <cell r="K29">
            <v>3.5</v>
          </cell>
          <cell r="L29">
            <v>0</v>
          </cell>
        </row>
        <row r="30">
          <cell r="A30">
            <v>29</v>
          </cell>
          <cell r="B30" t="str">
            <v>倉庫ｴﾘｱ2F</v>
          </cell>
          <cell r="C30" t="str">
            <v>休憩室</v>
          </cell>
          <cell r="D30">
            <v>200</v>
          </cell>
          <cell r="E30">
            <v>6</v>
          </cell>
          <cell r="F30" t="str">
            <v>FL</v>
          </cell>
          <cell r="G30">
            <v>40</v>
          </cell>
          <cell r="H30">
            <v>2</v>
          </cell>
          <cell r="I30">
            <v>7</v>
          </cell>
          <cell r="J30">
            <v>4.5</v>
          </cell>
          <cell r="K30">
            <v>3.5</v>
          </cell>
          <cell r="L30">
            <v>0.7</v>
          </cell>
        </row>
        <row r="31">
          <cell r="A31">
            <v>30</v>
          </cell>
          <cell r="B31" t="str">
            <v>倉庫ｴﾘｱ2F</v>
          </cell>
          <cell r="C31" t="str">
            <v>事務室</v>
          </cell>
          <cell r="D31">
            <v>500</v>
          </cell>
          <cell r="E31">
            <v>6</v>
          </cell>
          <cell r="F31" t="str">
            <v>FL</v>
          </cell>
          <cell r="G31">
            <v>40</v>
          </cell>
          <cell r="H31">
            <v>2</v>
          </cell>
          <cell r="I31">
            <v>20.8</v>
          </cell>
          <cell r="J31">
            <v>10</v>
          </cell>
          <cell r="K31">
            <v>3.5</v>
          </cell>
          <cell r="L31">
            <v>0.7</v>
          </cell>
        </row>
        <row r="32">
          <cell r="A32">
            <v>31</v>
          </cell>
          <cell r="B32" t="str">
            <v>倉庫ｴﾘｱ2F</v>
          </cell>
          <cell r="C32" t="str">
            <v>廊下</v>
          </cell>
          <cell r="D32">
            <v>150</v>
          </cell>
          <cell r="E32">
            <v>6</v>
          </cell>
          <cell r="F32" t="str">
            <v>FL</v>
          </cell>
          <cell r="G32">
            <v>40</v>
          </cell>
          <cell r="H32">
            <v>2</v>
          </cell>
          <cell r="I32">
            <v>55</v>
          </cell>
          <cell r="J32">
            <v>4</v>
          </cell>
          <cell r="K32">
            <v>3.5</v>
          </cell>
          <cell r="L32">
            <v>0</v>
          </cell>
        </row>
        <row r="33">
          <cell r="A33">
            <v>32</v>
          </cell>
          <cell r="B33" t="str">
            <v>事務所ｴﾘｱ1F</v>
          </cell>
          <cell r="C33" t="str">
            <v>事務室</v>
          </cell>
          <cell r="D33">
            <v>500</v>
          </cell>
          <cell r="E33">
            <v>6</v>
          </cell>
          <cell r="F33" t="str">
            <v>FL</v>
          </cell>
          <cell r="G33">
            <v>40</v>
          </cell>
          <cell r="H33">
            <v>2</v>
          </cell>
          <cell r="I33">
            <v>23.5</v>
          </cell>
          <cell r="J33">
            <v>14</v>
          </cell>
          <cell r="K33">
            <v>2.4</v>
          </cell>
          <cell r="L33">
            <v>0.7</v>
          </cell>
        </row>
        <row r="34">
          <cell r="A34">
            <v>33</v>
          </cell>
          <cell r="B34" t="str">
            <v>事務所ｴﾘｱ1F</v>
          </cell>
          <cell r="C34" t="str">
            <v>電算室</v>
          </cell>
          <cell r="D34">
            <v>500</v>
          </cell>
          <cell r="E34">
            <v>1</v>
          </cell>
          <cell r="F34" t="str">
            <v>FL</v>
          </cell>
          <cell r="G34">
            <v>40</v>
          </cell>
          <cell r="H34">
            <v>2</v>
          </cell>
          <cell r="I34">
            <v>14</v>
          </cell>
          <cell r="J34">
            <v>6</v>
          </cell>
          <cell r="K34">
            <v>2.4</v>
          </cell>
          <cell r="L34">
            <v>0.7</v>
          </cell>
        </row>
        <row r="35">
          <cell r="A35">
            <v>34</v>
          </cell>
          <cell r="B35" t="str">
            <v>事務所ｴﾘｱ1F</v>
          </cell>
          <cell r="C35" t="str">
            <v>操作室</v>
          </cell>
          <cell r="D35">
            <v>300</v>
          </cell>
          <cell r="E35">
            <v>1</v>
          </cell>
          <cell r="F35" t="str">
            <v>FL</v>
          </cell>
          <cell r="G35">
            <v>40</v>
          </cell>
          <cell r="H35">
            <v>2</v>
          </cell>
          <cell r="I35">
            <v>7.5</v>
          </cell>
          <cell r="J35">
            <v>6</v>
          </cell>
          <cell r="K35">
            <v>2.4</v>
          </cell>
          <cell r="L35">
            <v>0.7</v>
          </cell>
        </row>
        <row r="36">
          <cell r="A36">
            <v>35</v>
          </cell>
          <cell r="B36" t="str">
            <v>事務所ｴﾘｱ1F</v>
          </cell>
          <cell r="C36" t="str">
            <v>湯沸し室</v>
          </cell>
          <cell r="D36">
            <v>200</v>
          </cell>
          <cell r="E36">
            <v>6</v>
          </cell>
          <cell r="F36" t="str">
            <v>FL</v>
          </cell>
          <cell r="G36">
            <v>40</v>
          </cell>
          <cell r="H36">
            <v>2</v>
          </cell>
          <cell r="I36">
            <v>5</v>
          </cell>
          <cell r="J36">
            <v>3</v>
          </cell>
          <cell r="K36">
            <v>2.4</v>
          </cell>
          <cell r="L36">
            <v>0.7</v>
          </cell>
        </row>
        <row r="37">
          <cell r="A37">
            <v>36</v>
          </cell>
          <cell r="B37" t="str">
            <v>事務所ｴﾘｱ1F</v>
          </cell>
          <cell r="C37" t="str">
            <v>階段室</v>
          </cell>
          <cell r="D37">
            <v>100</v>
          </cell>
          <cell r="E37">
            <v>6</v>
          </cell>
          <cell r="F37" t="str">
            <v>FL</v>
          </cell>
          <cell r="G37">
            <v>40</v>
          </cell>
          <cell r="H37">
            <v>2</v>
          </cell>
          <cell r="I37">
            <v>7</v>
          </cell>
          <cell r="J37">
            <v>3</v>
          </cell>
          <cell r="K37">
            <v>2.4</v>
          </cell>
          <cell r="L37">
            <v>0</v>
          </cell>
        </row>
        <row r="38">
          <cell r="A38">
            <v>37</v>
          </cell>
          <cell r="B38" t="str">
            <v>事務所ｴﾘｱ1F</v>
          </cell>
          <cell r="C38" t="str">
            <v>玄関（外部）</v>
          </cell>
          <cell r="D38">
            <v>100</v>
          </cell>
          <cell r="E38">
            <v>12</v>
          </cell>
          <cell r="F38" t="str">
            <v>IL</v>
          </cell>
          <cell r="G38">
            <v>150</v>
          </cell>
          <cell r="H38">
            <v>1</v>
          </cell>
          <cell r="I38">
            <v>4</v>
          </cell>
          <cell r="J38">
            <v>3</v>
          </cell>
          <cell r="K38">
            <v>2.8</v>
          </cell>
          <cell r="L38">
            <v>0</v>
          </cell>
        </row>
        <row r="39">
          <cell r="A39">
            <v>38</v>
          </cell>
          <cell r="B39" t="str">
            <v>事務所ｴﾘｱ1F</v>
          </cell>
          <cell r="C39" t="str">
            <v>風除室</v>
          </cell>
          <cell r="D39">
            <v>100</v>
          </cell>
          <cell r="E39">
            <v>14</v>
          </cell>
          <cell r="F39" t="str">
            <v>FPL</v>
          </cell>
          <cell r="G39">
            <v>27</v>
          </cell>
          <cell r="H39">
            <v>1</v>
          </cell>
          <cell r="I39">
            <v>5</v>
          </cell>
          <cell r="J39">
            <v>3.5</v>
          </cell>
          <cell r="K39">
            <v>2.4</v>
          </cell>
          <cell r="L39">
            <v>0</v>
          </cell>
        </row>
        <row r="40">
          <cell r="A40">
            <v>39</v>
          </cell>
          <cell r="B40" t="str">
            <v>事務所ｴﾘｱ1F</v>
          </cell>
          <cell r="C40" t="str">
            <v>下足室</v>
          </cell>
          <cell r="D40">
            <v>100</v>
          </cell>
          <cell r="E40">
            <v>6</v>
          </cell>
          <cell r="F40" t="str">
            <v>FL</v>
          </cell>
          <cell r="G40">
            <v>40</v>
          </cell>
          <cell r="H40">
            <v>2</v>
          </cell>
          <cell r="I40">
            <v>3.5</v>
          </cell>
          <cell r="J40">
            <v>12</v>
          </cell>
          <cell r="K40">
            <v>2.4</v>
          </cell>
          <cell r="L40">
            <v>0</v>
          </cell>
        </row>
        <row r="41">
          <cell r="A41">
            <v>40</v>
          </cell>
          <cell r="B41" t="str">
            <v>事務所ｴﾘｱ1F</v>
          </cell>
          <cell r="C41" t="str">
            <v>ﾎｰﾙ</v>
          </cell>
          <cell r="D41">
            <v>150</v>
          </cell>
          <cell r="E41">
            <v>14</v>
          </cell>
          <cell r="F41" t="str">
            <v>FPL</v>
          </cell>
          <cell r="G41">
            <v>27</v>
          </cell>
          <cell r="H41">
            <v>1</v>
          </cell>
          <cell r="I41">
            <v>5</v>
          </cell>
          <cell r="J41">
            <v>7</v>
          </cell>
          <cell r="K41">
            <v>2.4</v>
          </cell>
          <cell r="L41">
            <v>0</v>
          </cell>
        </row>
        <row r="42">
          <cell r="A42">
            <v>41</v>
          </cell>
          <cell r="B42" t="str">
            <v>事務所ｴﾘｱ1F</v>
          </cell>
          <cell r="C42" t="str">
            <v>廊下</v>
          </cell>
          <cell r="D42">
            <v>150</v>
          </cell>
          <cell r="E42">
            <v>14</v>
          </cell>
          <cell r="F42" t="str">
            <v>FPL</v>
          </cell>
          <cell r="G42">
            <v>27</v>
          </cell>
          <cell r="H42">
            <v>1</v>
          </cell>
          <cell r="I42">
            <v>2</v>
          </cell>
          <cell r="J42">
            <v>20</v>
          </cell>
          <cell r="K42">
            <v>2.2000000000000002</v>
          </cell>
          <cell r="L42">
            <v>0</v>
          </cell>
        </row>
        <row r="43">
          <cell r="A43">
            <v>42</v>
          </cell>
          <cell r="B43" t="str">
            <v>事務所ｴﾘｱ1F</v>
          </cell>
          <cell r="C43" t="str">
            <v>品質管理室</v>
          </cell>
          <cell r="D43">
            <v>500</v>
          </cell>
          <cell r="E43">
            <v>14</v>
          </cell>
          <cell r="F43" t="str">
            <v>FPL</v>
          </cell>
          <cell r="G43">
            <v>27</v>
          </cell>
          <cell r="H43">
            <v>1</v>
          </cell>
          <cell r="I43">
            <v>8.5</v>
          </cell>
          <cell r="J43">
            <v>6</v>
          </cell>
          <cell r="K43">
            <v>2.4</v>
          </cell>
          <cell r="L43">
            <v>0.7</v>
          </cell>
        </row>
        <row r="44">
          <cell r="A44">
            <v>43</v>
          </cell>
          <cell r="B44" t="str">
            <v>事務所ｴﾘｱ1F</v>
          </cell>
          <cell r="C44" t="str">
            <v>男子ﾛｯｶｰ</v>
          </cell>
          <cell r="D44">
            <v>150</v>
          </cell>
          <cell r="E44">
            <v>14</v>
          </cell>
          <cell r="F44" t="str">
            <v>FPL</v>
          </cell>
          <cell r="G44">
            <v>27</v>
          </cell>
          <cell r="H44">
            <v>1</v>
          </cell>
          <cell r="I44">
            <v>5</v>
          </cell>
          <cell r="J44">
            <v>6</v>
          </cell>
          <cell r="K44">
            <v>2.4</v>
          </cell>
          <cell r="L44">
            <v>0</v>
          </cell>
        </row>
        <row r="45">
          <cell r="A45">
            <v>44</v>
          </cell>
          <cell r="B45" t="str">
            <v>事務所ｴﾘｱ1F</v>
          </cell>
          <cell r="C45" t="str">
            <v>女子ﾛｯｶｰ</v>
          </cell>
          <cell r="D45">
            <v>150</v>
          </cell>
          <cell r="E45">
            <v>14</v>
          </cell>
          <cell r="F45" t="str">
            <v>FPL</v>
          </cell>
          <cell r="G45">
            <v>27</v>
          </cell>
          <cell r="H45">
            <v>1</v>
          </cell>
          <cell r="I45">
            <v>3.5</v>
          </cell>
          <cell r="J45">
            <v>6</v>
          </cell>
          <cell r="K45">
            <v>2.4</v>
          </cell>
          <cell r="L45">
            <v>0</v>
          </cell>
        </row>
        <row r="46">
          <cell r="A46">
            <v>45</v>
          </cell>
          <cell r="B46" t="str">
            <v>事務所ｴﾘｱ1F</v>
          </cell>
          <cell r="C46" t="str">
            <v>見学者ﾎｰﾙ</v>
          </cell>
          <cell r="D46">
            <v>300</v>
          </cell>
          <cell r="E46">
            <v>14</v>
          </cell>
          <cell r="F46" t="str">
            <v>FPL</v>
          </cell>
          <cell r="G46">
            <v>27</v>
          </cell>
          <cell r="H46">
            <v>1</v>
          </cell>
          <cell r="I46">
            <v>8.5</v>
          </cell>
          <cell r="J46">
            <v>12</v>
          </cell>
          <cell r="K46">
            <v>2.4</v>
          </cell>
          <cell r="L46">
            <v>0</v>
          </cell>
        </row>
        <row r="47">
          <cell r="A47">
            <v>46</v>
          </cell>
          <cell r="B47" t="str">
            <v>事務所ｴﾘｱ1F</v>
          </cell>
          <cell r="C47" t="str">
            <v>ﾊﾟﾝﾄﾘｰ</v>
          </cell>
          <cell r="D47">
            <v>200</v>
          </cell>
          <cell r="E47">
            <v>14</v>
          </cell>
          <cell r="F47" t="str">
            <v>FPL</v>
          </cell>
          <cell r="G47">
            <v>27</v>
          </cell>
          <cell r="H47">
            <v>1</v>
          </cell>
          <cell r="I47">
            <v>1.8</v>
          </cell>
          <cell r="J47">
            <v>5</v>
          </cell>
          <cell r="K47">
            <v>2.2000000000000002</v>
          </cell>
          <cell r="L47">
            <v>0</v>
          </cell>
        </row>
        <row r="48">
          <cell r="A48">
            <v>47</v>
          </cell>
          <cell r="B48" t="str">
            <v>事務所ｴﾘｱ1F</v>
          </cell>
          <cell r="C48" t="str">
            <v>会議室</v>
          </cell>
          <cell r="D48">
            <v>500</v>
          </cell>
          <cell r="E48">
            <v>14</v>
          </cell>
          <cell r="F48" t="str">
            <v>FPL</v>
          </cell>
          <cell r="G48">
            <v>27</v>
          </cell>
          <cell r="H48">
            <v>1</v>
          </cell>
          <cell r="I48">
            <v>7.5</v>
          </cell>
          <cell r="J48">
            <v>10</v>
          </cell>
          <cell r="K48">
            <v>2.4</v>
          </cell>
          <cell r="L48">
            <v>0.7</v>
          </cell>
        </row>
        <row r="49">
          <cell r="A49">
            <v>48</v>
          </cell>
          <cell r="B49" t="str">
            <v>事務所ｴﾘｱ1F</v>
          </cell>
          <cell r="C49" t="str">
            <v>男子便所</v>
          </cell>
          <cell r="D49">
            <v>100</v>
          </cell>
          <cell r="E49">
            <v>14</v>
          </cell>
          <cell r="F49" t="str">
            <v>FPL</v>
          </cell>
          <cell r="G49">
            <v>27</v>
          </cell>
          <cell r="H49">
            <v>1</v>
          </cell>
          <cell r="I49">
            <v>4</v>
          </cell>
          <cell r="J49">
            <v>4.8</v>
          </cell>
          <cell r="K49">
            <v>2.2000000000000002</v>
          </cell>
          <cell r="L49">
            <v>0</v>
          </cell>
        </row>
        <row r="50">
          <cell r="A50">
            <v>49</v>
          </cell>
          <cell r="B50" t="str">
            <v>事務所ｴﾘｱ1F</v>
          </cell>
          <cell r="C50" t="str">
            <v>女子便所</v>
          </cell>
          <cell r="D50">
            <v>100</v>
          </cell>
          <cell r="E50">
            <v>14</v>
          </cell>
          <cell r="F50" t="str">
            <v>FPL</v>
          </cell>
          <cell r="G50">
            <v>27</v>
          </cell>
          <cell r="H50">
            <v>1</v>
          </cell>
          <cell r="I50">
            <v>3</v>
          </cell>
          <cell r="J50">
            <v>4.8</v>
          </cell>
          <cell r="K50">
            <v>2.2000000000000002</v>
          </cell>
          <cell r="L50">
            <v>0</v>
          </cell>
        </row>
        <row r="51">
          <cell r="A51">
            <v>50</v>
          </cell>
          <cell r="B51" t="str">
            <v>事務所ｴﾘｱ1F</v>
          </cell>
          <cell r="C51" t="str">
            <v>階段室</v>
          </cell>
          <cell r="D51">
            <v>100</v>
          </cell>
          <cell r="E51">
            <v>14</v>
          </cell>
          <cell r="F51" t="str">
            <v>FPL</v>
          </cell>
          <cell r="G51">
            <v>27</v>
          </cell>
          <cell r="H51">
            <v>1</v>
          </cell>
          <cell r="I51">
            <v>7</v>
          </cell>
          <cell r="J51">
            <v>3</v>
          </cell>
          <cell r="K51">
            <v>2.4</v>
          </cell>
          <cell r="L51">
            <v>0</v>
          </cell>
        </row>
        <row r="52">
          <cell r="A52">
            <v>51</v>
          </cell>
          <cell r="B52" t="str">
            <v>事務所ｴﾘｱ2F</v>
          </cell>
          <cell r="C52" t="str">
            <v>事務室</v>
          </cell>
          <cell r="D52">
            <v>500</v>
          </cell>
          <cell r="E52">
            <v>6</v>
          </cell>
          <cell r="F52" t="str">
            <v>FL</v>
          </cell>
          <cell r="G52">
            <v>40</v>
          </cell>
          <cell r="H52">
            <v>2</v>
          </cell>
          <cell r="I52">
            <v>7.5</v>
          </cell>
          <cell r="J52">
            <v>12</v>
          </cell>
          <cell r="K52">
            <v>2.4</v>
          </cell>
          <cell r="L52">
            <v>0.7</v>
          </cell>
        </row>
        <row r="53">
          <cell r="A53">
            <v>52</v>
          </cell>
          <cell r="B53" t="str">
            <v>事務所ｴﾘｱ2F</v>
          </cell>
          <cell r="C53" t="str">
            <v>事務室（総合開発室）</v>
          </cell>
          <cell r="D53">
            <v>500</v>
          </cell>
          <cell r="E53">
            <v>6</v>
          </cell>
          <cell r="F53" t="str">
            <v>FL</v>
          </cell>
          <cell r="G53">
            <v>40</v>
          </cell>
          <cell r="H53">
            <v>2</v>
          </cell>
          <cell r="I53">
            <v>16</v>
          </cell>
          <cell r="J53">
            <v>12</v>
          </cell>
          <cell r="K53">
            <v>2.4</v>
          </cell>
          <cell r="L53">
            <v>0.7</v>
          </cell>
        </row>
        <row r="54">
          <cell r="A54">
            <v>53</v>
          </cell>
          <cell r="B54" t="str">
            <v>事務所ｴﾘｱ2F</v>
          </cell>
          <cell r="C54" t="str">
            <v>役員室1</v>
          </cell>
          <cell r="D54">
            <v>500</v>
          </cell>
          <cell r="E54">
            <v>1</v>
          </cell>
          <cell r="F54" t="str">
            <v>FL</v>
          </cell>
          <cell r="G54">
            <v>40</v>
          </cell>
          <cell r="H54">
            <v>2</v>
          </cell>
          <cell r="I54">
            <v>4</v>
          </cell>
          <cell r="J54">
            <v>5.5</v>
          </cell>
          <cell r="K54">
            <v>2.4</v>
          </cell>
          <cell r="L54">
            <v>0.7</v>
          </cell>
        </row>
        <row r="55">
          <cell r="A55">
            <v>54</v>
          </cell>
          <cell r="B55" t="str">
            <v>事務所ｴﾘｱ2F</v>
          </cell>
          <cell r="C55" t="str">
            <v>役員室2</v>
          </cell>
          <cell r="D55">
            <v>500</v>
          </cell>
          <cell r="E55">
            <v>1</v>
          </cell>
          <cell r="F55" t="str">
            <v>FL</v>
          </cell>
          <cell r="G55">
            <v>40</v>
          </cell>
          <cell r="H55">
            <v>2</v>
          </cell>
          <cell r="I55">
            <v>4.2</v>
          </cell>
          <cell r="J55">
            <v>7.5</v>
          </cell>
          <cell r="K55">
            <v>2.4</v>
          </cell>
          <cell r="L55">
            <v>0.7</v>
          </cell>
        </row>
        <row r="56">
          <cell r="A56">
            <v>55</v>
          </cell>
          <cell r="B56" t="str">
            <v>事務所ｴﾘｱ2F</v>
          </cell>
          <cell r="C56" t="str">
            <v>応接室</v>
          </cell>
          <cell r="D56">
            <v>300</v>
          </cell>
          <cell r="E56">
            <v>1</v>
          </cell>
          <cell r="F56" t="str">
            <v>FL</v>
          </cell>
          <cell r="G56">
            <v>40</v>
          </cell>
          <cell r="H56">
            <v>2</v>
          </cell>
          <cell r="I56">
            <v>4.2</v>
          </cell>
          <cell r="J56">
            <v>6.5</v>
          </cell>
          <cell r="K56">
            <v>2.4</v>
          </cell>
          <cell r="L56">
            <v>0.7</v>
          </cell>
        </row>
        <row r="57">
          <cell r="A57">
            <v>56</v>
          </cell>
          <cell r="B57" t="str">
            <v>事務所ｴﾘｱ2F</v>
          </cell>
          <cell r="C57" t="str">
            <v>ﾛﾋﾞｰ</v>
          </cell>
          <cell r="D57">
            <v>100</v>
          </cell>
          <cell r="E57">
            <v>1</v>
          </cell>
          <cell r="F57" t="str">
            <v>FL</v>
          </cell>
          <cell r="G57">
            <v>40</v>
          </cell>
          <cell r="H57">
            <v>2</v>
          </cell>
          <cell r="I57">
            <v>4.2</v>
          </cell>
          <cell r="J57">
            <v>8.5</v>
          </cell>
          <cell r="K57">
            <v>2.4</v>
          </cell>
          <cell r="L57">
            <v>0</v>
          </cell>
        </row>
        <row r="58">
          <cell r="A58">
            <v>57</v>
          </cell>
          <cell r="B58" t="str">
            <v>事務所ｴﾘｱ2F</v>
          </cell>
          <cell r="C58" t="str">
            <v>湯沸し室</v>
          </cell>
          <cell r="D58">
            <v>200</v>
          </cell>
          <cell r="E58">
            <v>6</v>
          </cell>
          <cell r="F58" t="str">
            <v>FL</v>
          </cell>
          <cell r="G58">
            <v>40</v>
          </cell>
          <cell r="H58">
            <v>2</v>
          </cell>
          <cell r="I58">
            <v>3</v>
          </cell>
          <cell r="J58">
            <v>5</v>
          </cell>
          <cell r="K58">
            <v>2.2000000000000002</v>
          </cell>
          <cell r="L58">
            <v>0.7</v>
          </cell>
        </row>
        <row r="59">
          <cell r="A59">
            <v>58</v>
          </cell>
          <cell r="B59" t="str">
            <v>事務所ｴﾘｱ2F</v>
          </cell>
          <cell r="C59" t="str">
            <v>会議室1</v>
          </cell>
          <cell r="D59">
            <v>500</v>
          </cell>
          <cell r="E59">
            <v>1</v>
          </cell>
          <cell r="F59" t="str">
            <v>FL</v>
          </cell>
          <cell r="G59">
            <v>40</v>
          </cell>
          <cell r="H59">
            <v>2</v>
          </cell>
          <cell r="I59">
            <v>9</v>
          </cell>
          <cell r="J59">
            <v>6</v>
          </cell>
          <cell r="K59">
            <v>2.4</v>
          </cell>
          <cell r="L59">
            <v>0.7</v>
          </cell>
        </row>
        <row r="60">
          <cell r="A60">
            <v>59</v>
          </cell>
          <cell r="B60" t="str">
            <v>事務所ｴﾘｱ2F</v>
          </cell>
          <cell r="C60" t="str">
            <v>会議室2</v>
          </cell>
          <cell r="D60">
            <v>500</v>
          </cell>
          <cell r="E60">
            <v>1</v>
          </cell>
          <cell r="F60" t="str">
            <v>FL</v>
          </cell>
          <cell r="G60">
            <v>40</v>
          </cell>
          <cell r="H60">
            <v>2</v>
          </cell>
          <cell r="I60">
            <v>7.4</v>
          </cell>
          <cell r="J60">
            <v>6</v>
          </cell>
          <cell r="K60">
            <v>2.4</v>
          </cell>
          <cell r="L60">
            <v>0.7</v>
          </cell>
        </row>
        <row r="61">
          <cell r="A61">
            <v>60</v>
          </cell>
          <cell r="B61" t="str">
            <v>事務所ｴﾘｱ2F</v>
          </cell>
          <cell r="C61" t="str">
            <v>会議室3</v>
          </cell>
          <cell r="D61">
            <v>500</v>
          </cell>
          <cell r="E61">
            <v>1</v>
          </cell>
          <cell r="F61" t="str">
            <v>FL</v>
          </cell>
          <cell r="G61">
            <v>40</v>
          </cell>
          <cell r="H61">
            <v>2</v>
          </cell>
          <cell r="I61">
            <v>8.5</v>
          </cell>
          <cell r="J61">
            <v>6</v>
          </cell>
          <cell r="K61">
            <v>2.4</v>
          </cell>
          <cell r="L61">
            <v>0.7</v>
          </cell>
        </row>
        <row r="62">
          <cell r="A62">
            <v>61</v>
          </cell>
          <cell r="B62" t="str">
            <v>事務所ｴﾘｱ2F</v>
          </cell>
          <cell r="C62" t="str">
            <v>会議室4</v>
          </cell>
          <cell r="D62">
            <v>500</v>
          </cell>
          <cell r="E62">
            <v>1</v>
          </cell>
          <cell r="F62" t="str">
            <v>FL</v>
          </cell>
          <cell r="G62">
            <v>40</v>
          </cell>
          <cell r="H62">
            <v>2</v>
          </cell>
          <cell r="I62">
            <v>4.5</v>
          </cell>
          <cell r="J62">
            <v>6</v>
          </cell>
          <cell r="K62">
            <v>2.4</v>
          </cell>
          <cell r="L62">
            <v>0.7</v>
          </cell>
        </row>
        <row r="63">
          <cell r="A63">
            <v>62</v>
          </cell>
          <cell r="B63" t="str">
            <v>事務所ｴﾘｱ2F</v>
          </cell>
          <cell r="C63" t="str">
            <v>会議室5</v>
          </cell>
          <cell r="D63">
            <v>500</v>
          </cell>
          <cell r="E63">
            <v>1</v>
          </cell>
          <cell r="F63" t="str">
            <v>FL</v>
          </cell>
          <cell r="G63">
            <v>40</v>
          </cell>
          <cell r="H63">
            <v>2</v>
          </cell>
          <cell r="I63">
            <v>4.2</v>
          </cell>
          <cell r="J63">
            <v>6</v>
          </cell>
          <cell r="K63">
            <v>2.4</v>
          </cell>
          <cell r="L63">
            <v>0.7</v>
          </cell>
        </row>
        <row r="64">
          <cell r="A64">
            <v>63</v>
          </cell>
          <cell r="B64" t="str">
            <v>事務所ｴﾘｱ2F</v>
          </cell>
          <cell r="C64" t="str">
            <v>食堂</v>
          </cell>
          <cell r="D64">
            <v>300</v>
          </cell>
          <cell r="E64">
            <v>6</v>
          </cell>
          <cell r="F64" t="str">
            <v>FL</v>
          </cell>
          <cell r="G64">
            <v>40</v>
          </cell>
          <cell r="H64">
            <v>2</v>
          </cell>
          <cell r="I64">
            <v>16</v>
          </cell>
          <cell r="J64">
            <v>10</v>
          </cell>
          <cell r="K64">
            <v>2.4</v>
          </cell>
          <cell r="L64">
            <v>0.7</v>
          </cell>
        </row>
        <row r="65">
          <cell r="A65">
            <v>64</v>
          </cell>
          <cell r="B65" t="str">
            <v>事務所ｴﾘｱ2F</v>
          </cell>
          <cell r="C65" t="str">
            <v>ﾊﾟﾝﾄﾘｰ</v>
          </cell>
          <cell r="D65">
            <v>200</v>
          </cell>
          <cell r="E65">
            <v>6</v>
          </cell>
          <cell r="F65" t="str">
            <v>FL</v>
          </cell>
          <cell r="G65">
            <v>40</v>
          </cell>
          <cell r="H65">
            <v>2</v>
          </cell>
          <cell r="I65">
            <v>2</v>
          </cell>
          <cell r="J65">
            <v>8.5</v>
          </cell>
          <cell r="K65">
            <v>2.2000000000000002</v>
          </cell>
          <cell r="L65">
            <v>0</v>
          </cell>
        </row>
        <row r="66">
          <cell r="A66">
            <v>65</v>
          </cell>
          <cell r="B66" t="str">
            <v>事務所ｴﾘｱ2F</v>
          </cell>
          <cell r="C66" t="str">
            <v>男子便所</v>
          </cell>
          <cell r="D66">
            <v>100</v>
          </cell>
          <cell r="E66">
            <v>14</v>
          </cell>
          <cell r="F66" t="str">
            <v>FPL</v>
          </cell>
          <cell r="G66">
            <v>27</v>
          </cell>
          <cell r="H66">
            <v>1</v>
          </cell>
          <cell r="I66">
            <v>4</v>
          </cell>
          <cell r="J66">
            <v>4.8</v>
          </cell>
          <cell r="K66">
            <v>2.2000000000000002</v>
          </cell>
          <cell r="L66">
            <v>0</v>
          </cell>
        </row>
        <row r="67">
          <cell r="A67">
            <v>66</v>
          </cell>
          <cell r="B67" t="str">
            <v>事務所ｴﾘｱ2F</v>
          </cell>
          <cell r="C67" t="str">
            <v>女子便所</v>
          </cell>
          <cell r="D67">
            <v>100</v>
          </cell>
          <cell r="E67">
            <v>14</v>
          </cell>
          <cell r="F67" t="str">
            <v>FPL</v>
          </cell>
          <cell r="G67">
            <v>27</v>
          </cell>
          <cell r="H67">
            <v>1</v>
          </cell>
          <cell r="I67">
            <v>2.8</v>
          </cell>
          <cell r="J67">
            <v>4.8</v>
          </cell>
          <cell r="K67">
            <v>2.2000000000000002</v>
          </cell>
          <cell r="L67">
            <v>0</v>
          </cell>
        </row>
        <row r="68">
          <cell r="A68">
            <v>67</v>
          </cell>
          <cell r="B68" t="str">
            <v>事務所ｴﾘｱ2F</v>
          </cell>
          <cell r="C68" t="str">
            <v>階段室1</v>
          </cell>
          <cell r="D68">
            <v>100</v>
          </cell>
          <cell r="E68">
            <v>6</v>
          </cell>
          <cell r="F68" t="str">
            <v>FL</v>
          </cell>
          <cell r="G68">
            <v>40</v>
          </cell>
          <cell r="H68">
            <v>2</v>
          </cell>
          <cell r="I68">
            <v>7</v>
          </cell>
          <cell r="J68">
            <v>3</v>
          </cell>
          <cell r="K68">
            <v>2.4</v>
          </cell>
          <cell r="L68">
            <v>0</v>
          </cell>
        </row>
        <row r="69">
          <cell r="A69">
            <v>68</v>
          </cell>
          <cell r="B69" t="str">
            <v>事務所ｴﾘｱ2F</v>
          </cell>
          <cell r="C69" t="str">
            <v>階段室2</v>
          </cell>
          <cell r="D69">
            <v>100</v>
          </cell>
          <cell r="E69">
            <v>6</v>
          </cell>
          <cell r="F69" t="str">
            <v>FL</v>
          </cell>
          <cell r="G69">
            <v>40</v>
          </cell>
          <cell r="H69">
            <v>2</v>
          </cell>
          <cell r="I69">
            <v>7</v>
          </cell>
          <cell r="J69">
            <v>3</v>
          </cell>
          <cell r="K69">
            <v>2.4</v>
          </cell>
          <cell r="L69">
            <v>0</v>
          </cell>
        </row>
        <row r="70">
          <cell r="A70">
            <v>69</v>
          </cell>
          <cell r="B70" t="str">
            <v>事務所ｴﾘｱ2F</v>
          </cell>
          <cell r="C70" t="str">
            <v>廊下</v>
          </cell>
          <cell r="D70">
            <v>100</v>
          </cell>
          <cell r="E70">
            <v>6</v>
          </cell>
          <cell r="F70" t="str">
            <v>FL</v>
          </cell>
          <cell r="G70">
            <v>40</v>
          </cell>
          <cell r="H70">
            <v>2</v>
          </cell>
          <cell r="I70">
            <v>19.2</v>
          </cell>
          <cell r="J70">
            <v>1</v>
          </cell>
          <cell r="K70">
            <v>2.2000000000000002</v>
          </cell>
          <cell r="L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showZeros="0" showOutlineSymbols="0" topLeftCell="B16" zoomScaleNormal="5" zoomScaleSheetLayoutView="4" workbookViewId="0"/>
  </sheetViews>
  <sheetFormatPr defaultRowHeight="14.4"/>
  <sheetData/>
  <phoneticPr fontId="2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224"/>
  <sheetViews>
    <sheetView tabSelected="1" view="pageLayout" zoomScaleNormal="100" workbookViewId="0">
      <selection activeCell="P12" sqref="P12"/>
    </sheetView>
  </sheetViews>
  <sheetFormatPr defaultColWidth="2.796875" defaultRowHeight="17.100000000000001" customHeight="1"/>
  <cols>
    <col min="1" max="1" width="5.19921875" style="1" customWidth="1"/>
    <col min="2" max="16384" width="2.796875" style="1"/>
  </cols>
  <sheetData>
    <row r="1" spans="1:84" ht="17.100000000000001" customHeight="1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4"/>
      <c r="AB1" s="17"/>
      <c r="AC1" s="66"/>
      <c r="AD1" s="67"/>
      <c r="AE1" s="67"/>
      <c r="AF1" s="3"/>
    </row>
    <row r="2" spans="1:84" ht="17.100000000000001" customHeight="1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7"/>
      <c r="AB2" s="17"/>
      <c r="AC2" s="66"/>
      <c r="AD2" s="65"/>
      <c r="AE2" s="65"/>
      <c r="AF2" s="3"/>
    </row>
    <row r="3" spans="1:84" ht="17.100000000000001" customHeight="1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7"/>
      <c r="AB3" s="24"/>
      <c r="AC3" s="3"/>
      <c r="AD3" s="65"/>
      <c r="AE3" s="65"/>
      <c r="AF3" s="3"/>
    </row>
    <row r="4" spans="1:84" ht="17.100000000000001" customHeight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7"/>
      <c r="AB4" s="24"/>
      <c r="AC4" s="3"/>
    </row>
    <row r="5" spans="1:84" ht="17.100000000000001" customHeight="1">
      <c r="A5" s="64"/>
      <c r="B5" s="60"/>
      <c r="C5" s="60"/>
      <c r="D5" s="42"/>
      <c r="E5" s="42"/>
      <c r="F5" s="4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17"/>
      <c r="S5" s="17"/>
      <c r="T5" s="110">
        <f ca="1">TODAY()</f>
        <v>46171</v>
      </c>
      <c r="U5" s="110"/>
      <c r="V5" s="110"/>
      <c r="W5" s="110"/>
      <c r="X5" s="110"/>
      <c r="Y5" s="110"/>
      <c r="Z5" s="110"/>
      <c r="AA5" s="111"/>
      <c r="AB5" s="17"/>
    </row>
    <row r="6" spans="1:84" ht="17.100000000000001" customHeight="1">
      <c r="A6" s="52"/>
      <c r="B6" s="51"/>
      <c r="C6" s="51"/>
      <c r="D6" s="51"/>
      <c r="E6" s="51"/>
      <c r="F6" s="42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17"/>
      <c r="S6" s="17"/>
      <c r="T6" s="17"/>
      <c r="U6" s="17"/>
      <c r="V6" s="17"/>
      <c r="W6" s="17"/>
      <c r="X6" s="17"/>
      <c r="Y6" s="17"/>
      <c r="Z6" s="17"/>
      <c r="AA6" s="32"/>
      <c r="AB6" s="17"/>
    </row>
    <row r="7" spans="1:84" ht="17.100000000000001" customHeight="1">
      <c r="A7" s="52"/>
      <c r="B7" s="118" t="s">
        <v>9</v>
      </c>
      <c r="C7" s="118"/>
      <c r="D7" s="118"/>
      <c r="E7" s="118"/>
      <c r="F7" s="118"/>
      <c r="G7" s="118"/>
      <c r="H7" s="118"/>
      <c r="I7" s="118"/>
      <c r="J7" s="118"/>
      <c r="K7" s="119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62"/>
      <c r="AB7" s="36"/>
    </row>
    <row r="8" spans="1:84" ht="17.100000000000001" customHeight="1">
      <c r="A8" s="63"/>
      <c r="B8" s="49"/>
      <c r="C8" s="49"/>
      <c r="D8" s="49"/>
      <c r="E8" s="49"/>
      <c r="F8" s="49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S8" s="20"/>
      <c r="T8" s="36"/>
      <c r="U8" s="36"/>
      <c r="V8" s="36"/>
      <c r="W8" s="36"/>
      <c r="X8" s="36"/>
      <c r="Y8" s="36"/>
      <c r="Z8" s="36"/>
      <c r="AA8" s="62"/>
      <c r="AB8" s="36"/>
      <c r="AD8" s="3"/>
      <c r="AE8" s="3"/>
      <c r="AF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</row>
    <row r="9" spans="1:84" ht="17.100000000000001" customHeight="1">
      <c r="A9" s="61"/>
      <c r="B9" s="51"/>
      <c r="C9" s="60"/>
      <c r="D9" s="59"/>
      <c r="E9" s="42"/>
      <c r="F9" s="42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S9" s="20"/>
      <c r="U9" s="17"/>
      <c r="V9" s="17"/>
      <c r="W9" s="17"/>
      <c r="X9" s="17"/>
      <c r="Y9" s="17"/>
      <c r="Z9" s="17"/>
      <c r="AA9" s="32"/>
      <c r="AB9" s="17"/>
      <c r="AD9" s="3"/>
      <c r="AE9" s="3"/>
      <c r="AF9" s="3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</row>
    <row r="10" spans="1:84" ht="17.100000000000001" customHeight="1">
      <c r="A10" s="31"/>
      <c r="B10" s="30"/>
      <c r="C10" s="30"/>
      <c r="D10" s="30"/>
      <c r="E10" s="30"/>
      <c r="F10" s="42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U10" s="17"/>
      <c r="V10" s="17"/>
      <c r="W10" s="17"/>
      <c r="X10" s="17"/>
      <c r="Y10" s="17"/>
      <c r="Z10" s="12"/>
      <c r="AA10" s="32"/>
      <c r="AB10" s="17"/>
      <c r="AD10" s="3"/>
      <c r="AE10" s="3"/>
      <c r="AF10" s="3"/>
    </row>
    <row r="11" spans="1:84" ht="17.100000000000001" customHeight="1">
      <c r="A11" s="31"/>
      <c r="B11" s="30"/>
      <c r="C11" s="30"/>
      <c r="D11" s="30"/>
      <c r="E11" s="30"/>
      <c r="F11" s="58"/>
      <c r="G11" s="5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53"/>
      <c r="AB11" s="34"/>
      <c r="AD11" s="3"/>
      <c r="AE11" s="3"/>
      <c r="AF11" s="3"/>
    </row>
    <row r="12" spans="1:84" ht="17.100000000000001" customHeight="1">
      <c r="A12" s="56"/>
      <c r="B12" s="55" t="s">
        <v>8</v>
      </c>
      <c r="C12" s="54"/>
      <c r="E12" s="54"/>
      <c r="F12" s="49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53"/>
      <c r="AB12" s="34"/>
      <c r="AD12" s="3"/>
      <c r="AE12" s="3"/>
      <c r="AF12" s="3"/>
    </row>
    <row r="13" spans="1:84" ht="17.100000000000001" customHeight="1">
      <c r="A13" s="52"/>
      <c r="B13" s="51"/>
      <c r="C13" s="35"/>
      <c r="D13" s="35"/>
      <c r="E13" s="35"/>
      <c r="G13" s="3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32"/>
      <c r="AB13" s="17"/>
    </row>
    <row r="14" spans="1:84" ht="17.100000000000001" customHeight="1">
      <c r="A14" s="71" t="s">
        <v>7</v>
      </c>
      <c r="B14" s="72"/>
      <c r="C14" s="72"/>
      <c r="D14" s="72"/>
      <c r="E14" s="72"/>
      <c r="F14" s="72"/>
      <c r="G14" s="73"/>
      <c r="H14" s="120" t="s">
        <v>12</v>
      </c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1"/>
      <c r="AB14" s="17"/>
      <c r="AD14" s="45"/>
    </row>
    <row r="15" spans="1:84" ht="17.100000000000001" customHeight="1">
      <c r="A15" s="74"/>
      <c r="B15" s="75"/>
      <c r="C15" s="75"/>
      <c r="D15" s="75"/>
      <c r="E15" s="75"/>
      <c r="F15" s="75"/>
      <c r="G15" s="76"/>
      <c r="H15" s="92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4"/>
      <c r="AB15" s="24"/>
      <c r="AD15" s="45"/>
    </row>
    <row r="16" spans="1:84" ht="17.100000000000001" customHeight="1">
      <c r="A16" s="77"/>
      <c r="B16" s="78"/>
      <c r="C16" s="78"/>
      <c r="D16" s="78"/>
      <c r="E16" s="78"/>
      <c r="F16" s="78"/>
      <c r="G16" s="79"/>
      <c r="H16" s="95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7"/>
      <c r="AB16" s="24"/>
      <c r="AD16" s="45"/>
    </row>
    <row r="17" spans="1:58" ht="17.100000000000001" customHeight="1">
      <c r="A17" s="71" t="s">
        <v>6</v>
      </c>
      <c r="B17" s="72"/>
      <c r="C17" s="72"/>
      <c r="D17" s="72"/>
      <c r="E17" s="72"/>
      <c r="F17" s="72"/>
      <c r="G17" s="73"/>
      <c r="H17" s="121" t="s">
        <v>13</v>
      </c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1"/>
      <c r="AB17" s="17"/>
      <c r="AD17" s="45"/>
    </row>
    <row r="18" spans="1:58" ht="17.100000000000001" customHeight="1">
      <c r="A18" s="74"/>
      <c r="B18" s="75"/>
      <c r="C18" s="75"/>
      <c r="D18" s="75"/>
      <c r="E18" s="75"/>
      <c r="F18" s="75"/>
      <c r="G18" s="76"/>
      <c r="H18" s="92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4"/>
      <c r="AB18" s="17"/>
      <c r="AD18" s="45"/>
    </row>
    <row r="19" spans="1:58" ht="17.100000000000001" customHeight="1">
      <c r="A19" s="77"/>
      <c r="B19" s="78"/>
      <c r="C19" s="78"/>
      <c r="D19" s="78"/>
      <c r="E19" s="78"/>
      <c r="F19" s="78"/>
      <c r="G19" s="79"/>
      <c r="H19" s="95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7"/>
      <c r="AB19" s="24"/>
      <c r="AD19" s="45"/>
    </row>
    <row r="20" spans="1:58" ht="17.100000000000001" customHeight="1">
      <c r="A20" s="71" t="s">
        <v>5</v>
      </c>
      <c r="B20" s="72"/>
      <c r="C20" s="72"/>
      <c r="D20" s="72"/>
      <c r="E20" s="72"/>
      <c r="F20" s="72"/>
      <c r="G20" s="73"/>
      <c r="H20" s="89" t="s">
        <v>14</v>
      </c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  <c r="AB20" s="24"/>
      <c r="AD20" s="45"/>
    </row>
    <row r="21" spans="1:58" ht="17.100000000000001" customHeight="1">
      <c r="A21" s="74"/>
      <c r="B21" s="75"/>
      <c r="C21" s="75"/>
      <c r="D21" s="75"/>
      <c r="E21" s="75"/>
      <c r="F21" s="75"/>
      <c r="G21" s="76"/>
      <c r="H21" s="92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4"/>
      <c r="AB21" s="17"/>
      <c r="AD21" s="45"/>
    </row>
    <row r="22" spans="1:58" ht="17.100000000000001" customHeight="1">
      <c r="A22" s="77"/>
      <c r="B22" s="78"/>
      <c r="C22" s="78"/>
      <c r="D22" s="78"/>
      <c r="E22" s="78"/>
      <c r="F22" s="78"/>
      <c r="G22" s="79"/>
      <c r="H22" s="9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7"/>
      <c r="AB22" s="17"/>
      <c r="AD22" s="45"/>
    </row>
    <row r="23" spans="1:58" ht="17.100000000000001" customHeight="1">
      <c r="A23" s="71" t="s">
        <v>4</v>
      </c>
      <c r="B23" s="72"/>
      <c r="C23" s="72"/>
      <c r="D23" s="72"/>
      <c r="E23" s="72"/>
      <c r="F23" s="72"/>
      <c r="G23" s="73"/>
      <c r="H23" s="98" t="s">
        <v>15</v>
      </c>
      <c r="I23" s="99"/>
      <c r="J23" s="99"/>
      <c r="K23" s="99"/>
      <c r="L23" s="99"/>
      <c r="M23" s="99"/>
      <c r="N23" s="99"/>
      <c r="O23" s="99"/>
      <c r="P23" s="99"/>
      <c r="Q23" s="107" t="s">
        <v>11</v>
      </c>
      <c r="R23" s="107"/>
      <c r="S23" s="99" t="s">
        <v>16</v>
      </c>
      <c r="T23" s="99"/>
      <c r="U23" s="99"/>
      <c r="V23" s="99"/>
      <c r="W23" s="99"/>
      <c r="X23" s="99"/>
      <c r="Y23" s="99"/>
      <c r="Z23" s="99"/>
      <c r="AA23" s="104"/>
      <c r="AB23" s="24"/>
      <c r="AD23" s="45"/>
    </row>
    <row r="24" spans="1:58" ht="17.100000000000001" customHeight="1">
      <c r="A24" s="74"/>
      <c r="B24" s="75"/>
      <c r="C24" s="75"/>
      <c r="D24" s="75"/>
      <c r="E24" s="75"/>
      <c r="F24" s="75"/>
      <c r="G24" s="76"/>
      <c r="H24" s="100"/>
      <c r="I24" s="101"/>
      <c r="J24" s="101"/>
      <c r="K24" s="101"/>
      <c r="L24" s="101"/>
      <c r="M24" s="101"/>
      <c r="N24" s="101"/>
      <c r="O24" s="101"/>
      <c r="P24" s="101"/>
      <c r="Q24" s="108"/>
      <c r="R24" s="108"/>
      <c r="S24" s="101"/>
      <c r="T24" s="101"/>
      <c r="U24" s="101"/>
      <c r="V24" s="101"/>
      <c r="W24" s="101"/>
      <c r="X24" s="101"/>
      <c r="Y24" s="101"/>
      <c r="Z24" s="101"/>
      <c r="AA24" s="105"/>
      <c r="AB24" s="24"/>
      <c r="AD24" s="45"/>
    </row>
    <row r="25" spans="1:58" ht="17.100000000000001" customHeight="1">
      <c r="A25" s="77"/>
      <c r="B25" s="78"/>
      <c r="C25" s="78"/>
      <c r="D25" s="78"/>
      <c r="E25" s="78"/>
      <c r="F25" s="78"/>
      <c r="G25" s="79"/>
      <c r="H25" s="102"/>
      <c r="I25" s="103"/>
      <c r="J25" s="103"/>
      <c r="K25" s="103"/>
      <c r="L25" s="103"/>
      <c r="M25" s="103"/>
      <c r="N25" s="103"/>
      <c r="O25" s="103"/>
      <c r="P25" s="103"/>
      <c r="Q25" s="109"/>
      <c r="R25" s="109"/>
      <c r="S25" s="103"/>
      <c r="T25" s="103"/>
      <c r="U25" s="103"/>
      <c r="V25" s="103"/>
      <c r="W25" s="103"/>
      <c r="X25" s="103"/>
      <c r="Y25" s="103"/>
      <c r="Z25" s="103"/>
      <c r="AA25" s="106"/>
      <c r="AB25" s="17"/>
      <c r="AD25" s="45"/>
    </row>
    <row r="26" spans="1:58" ht="17.100000000000001" customHeight="1">
      <c r="A26" s="71" t="s">
        <v>3</v>
      </c>
      <c r="B26" s="72"/>
      <c r="C26" s="72"/>
      <c r="D26" s="72"/>
      <c r="E26" s="72"/>
      <c r="F26" s="72"/>
      <c r="G26" s="73"/>
      <c r="H26" s="80" t="str">
        <f>+H23</f>
        <v>作業開始日を記入</v>
      </c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2"/>
      <c r="AB26" s="17"/>
      <c r="AD26" s="45"/>
      <c r="AO26" s="4"/>
      <c r="AP26" s="4"/>
    </row>
    <row r="27" spans="1:58" ht="17.100000000000001" customHeight="1">
      <c r="A27" s="74"/>
      <c r="B27" s="75"/>
      <c r="C27" s="75"/>
      <c r="D27" s="75"/>
      <c r="E27" s="75"/>
      <c r="F27" s="75"/>
      <c r="G27" s="76"/>
      <c r="H27" s="83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5"/>
      <c r="AB27" s="24"/>
      <c r="AD27" s="45"/>
      <c r="AO27" s="4"/>
      <c r="AP27" s="4"/>
    </row>
    <row r="28" spans="1:58" ht="17.100000000000001" customHeight="1">
      <c r="A28" s="77"/>
      <c r="B28" s="78"/>
      <c r="C28" s="78"/>
      <c r="D28" s="78"/>
      <c r="E28" s="78"/>
      <c r="F28" s="78"/>
      <c r="G28" s="79"/>
      <c r="H28" s="86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8"/>
      <c r="AB28" s="24"/>
      <c r="AD28" s="45"/>
      <c r="AO28" s="4"/>
      <c r="AP28" s="4"/>
    </row>
    <row r="29" spans="1:58" ht="17.100000000000001" customHeight="1">
      <c r="A29" s="71" t="s">
        <v>2</v>
      </c>
      <c r="B29" s="72"/>
      <c r="C29" s="72"/>
      <c r="D29" s="72"/>
      <c r="E29" s="72"/>
      <c r="F29" s="72"/>
      <c r="G29" s="73"/>
      <c r="H29" s="80" t="str">
        <f>+S23</f>
        <v>作業完了日を記入</v>
      </c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2"/>
      <c r="AB29" s="17"/>
    </row>
    <row r="30" spans="1:58" ht="17.100000000000001" customHeight="1">
      <c r="A30" s="74"/>
      <c r="B30" s="75"/>
      <c r="C30" s="75"/>
      <c r="D30" s="75"/>
      <c r="E30" s="75"/>
      <c r="F30" s="75"/>
      <c r="G30" s="76"/>
      <c r="H30" s="83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5"/>
      <c r="AB30" s="17"/>
      <c r="BD30" s="45"/>
      <c r="BE30" s="45"/>
      <c r="BF30" s="45"/>
    </row>
    <row r="31" spans="1:58" ht="17.100000000000001" customHeight="1">
      <c r="A31" s="77"/>
      <c r="B31" s="78"/>
      <c r="C31" s="78"/>
      <c r="D31" s="78"/>
      <c r="E31" s="78"/>
      <c r="F31" s="78"/>
      <c r="G31" s="79"/>
      <c r="H31" s="86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8"/>
      <c r="AB31" s="24"/>
      <c r="BD31" s="45"/>
      <c r="BE31" s="45"/>
      <c r="BF31" s="45"/>
    </row>
    <row r="32" spans="1:58" ht="17.100000000000001" customHeight="1">
      <c r="A32" s="50"/>
      <c r="B32" s="49"/>
      <c r="C32" s="35"/>
      <c r="H32" s="68" t="s">
        <v>1</v>
      </c>
      <c r="I32" s="69"/>
      <c r="J32" s="69"/>
      <c r="K32" s="69"/>
      <c r="L32" s="69"/>
      <c r="M32" s="69"/>
      <c r="N32" s="69"/>
      <c r="O32" s="69"/>
      <c r="P32" s="69"/>
      <c r="Q32" s="69"/>
      <c r="R32" s="68"/>
      <c r="S32" s="68"/>
      <c r="T32" s="68"/>
      <c r="U32" s="68"/>
      <c r="V32" s="68"/>
      <c r="W32" s="68"/>
      <c r="X32" s="68"/>
      <c r="Y32" s="68"/>
      <c r="Z32" s="68"/>
      <c r="AA32" s="48"/>
      <c r="AB32" s="46"/>
      <c r="BD32" s="3"/>
      <c r="BE32" s="3"/>
      <c r="BF32" s="45"/>
    </row>
    <row r="33" spans="1:58" ht="17.100000000000001" customHeight="1">
      <c r="A33" s="31"/>
      <c r="B33" s="30"/>
      <c r="C33" s="30"/>
      <c r="H33" s="68" t="s">
        <v>0</v>
      </c>
      <c r="I33" s="69"/>
      <c r="J33" s="69"/>
      <c r="K33" s="69"/>
      <c r="L33" s="69"/>
      <c r="M33" s="69"/>
      <c r="N33" s="69"/>
      <c r="O33" s="69"/>
      <c r="P33" s="69"/>
      <c r="Q33" s="69"/>
      <c r="R33" s="68"/>
      <c r="S33" s="68"/>
      <c r="T33" s="68"/>
      <c r="U33" s="68"/>
      <c r="V33" s="68"/>
      <c r="W33" s="68"/>
      <c r="X33" s="68"/>
      <c r="Y33" s="68"/>
      <c r="Z33" s="68"/>
      <c r="AA33" s="47"/>
      <c r="AB33" s="46"/>
      <c r="BD33" s="3"/>
      <c r="BE33" s="3"/>
      <c r="BF33" s="45"/>
    </row>
    <row r="34" spans="1:58" ht="17.100000000000001" customHeight="1">
      <c r="A34" s="31"/>
      <c r="B34" s="30"/>
      <c r="C34" s="30"/>
      <c r="D34" s="30"/>
      <c r="E34" s="30"/>
      <c r="F34" s="17"/>
      <c r="G34" s="70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9"/>
      <c r="AB34" s="17"/>
      <c r="BD34" s="3"/>
      <c r="BE34" s="3"/>
      <c r="BF34" s="45"/>
    </row>
    <row r="35" spans="1:58" ht="17.100000000000001" customHeight="1">
      <c r="A35" s="39"/>
      <c r="B35" s="17"/>
      <c r="C35" s="17"/>
      <c r="W35" s="24"/>
      <c r="X35" s="24"/>
      <c r="Y35" s="24"/>
      <c r="Z35" s="24"/>
      <c r="AA35" s="29"/>
      <c r="AB35" s="24"/>
      <c r="BD35" s="3"/>
      <c r="BE35" s="3"/>
    </row>
    <row r="36" spans="1:58" ht="17.100000000000001" customHeight="1">
      <c r="A36" s="38"/>
      <c r="B36" s="37"/>
      <c r="C36" s="17"/>
      <c r="E36" s="41"/>
      <c r="F36" s="41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1"/>
      <c r="X36" s="41"/>
      <c r="Y36" s="41"/>
      <c r="Z36" s="17"/>
      <c r="AA36" s="32"/>
      <c r="AB36" s="24"/>
      <c r="BD36" s="3"/>
      <c r="BE36" s="3"/>
    </row>
    <row r="37" spans="1:58" ht="17.100000000000001" customHeight="1">
      <c r="A37" s="31"/>
      <c r="B37" s="30"/>
      <c r="C37" s="17"/>
      <c r="D37" s="44"/>
      <c r="E37" s="44"/>
      <c r="F37" s="41"/>
      <c r="G37" s="40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17"/>
      <c r="AA37" s="32"/>
      <c r="AB37" s="17"/>
      <c r="BD37" s="3"/>
      <c r="BE37" s="3"/>
    </row>
    <row r="38" spans="1:58" ht="17.100000000000001" customHeight="1">
      <c r="A38" s="31"/>
      <c r="B38" s="30"/>
      <c r="E38" s="43"/>
      <c r="F38" s="42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0"/>
      <c r="X38" s="40"/>
      <c r="Y38" s="40"/>
      <c r="Z38" s="24"/>
      <c r="AA38" s="29"/>
      <c r="AB38" s="17"/>
      <c r="BD38" s="3"/>
      <c r="BE38" s="3"/>
    </row>
    <row r="39" spans="1:58" ht="17.100000000000001" customHeight="1">
      <c r="A39" s="39"/>
      <c r="B39" s="17"/>
      <c r="C39" s="17"/>
      <c r="D39" s="30"/>
      <c r="E39" s="30"/>
      <c r="F39" s="20"/>
      <c r="G39" s="24"/>
      <c r="H39" s="24"/>
      <c r="I39" s="24"/>
      <c r="J39" s="24"/>
      <c r="K39" s="24"/>
      <c r="N39" s="34"/>
      <c r="O39" s="17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9"/>
      <c r="AB39" s="24"/>
      <c r="BD39" s="3"/>
      <c r="BE39" s="3"/>
    </row>
    <row r="40" spans="1:58" ht="17.100000000000001" customHeight="1">
      <c r="A40" s="38"/>
      <c r="B40" s="37"/>
      <c r="C40" s="35"/>
      <c r="D40" s="17"/>
      <c r="E40" s="17"/>
      <c r="F40" s="20"/>
      <c r="G40" s="36"/>
      <c r="H40" s="17"/>
      <c r="I40" s="17"/>
      <c r="J40" s="17"/>
      <c r="K40" s="17"/>
      <c r="N40" s="34"/>
      <c r="O40" s="17"/>
      <c r="Q40" s="24"/>
      <c r="R40" s="24"/>
      <c r="S40" s="24"/>
      <c r="T40" s="24"/>
      <c r="U40" s="24"/>
      <c r="V40" s="24"/>
      <c r="W40" s="17"/>
      <c r="X40" s="17"/>
      <c r="Y40" s="17"/>
      <c r="Z40" s="17"/>
      <c r="AA40" s="32"/>
      <c r="AB40" s="24"/>
    </row>
    <row r="41" spans="1:58" ht="17.100000000000001" customHeight="1">
      <c r="A41" s="31"/>
      <c r="B41" s="30"/>
      <c r="C41" s="30"/>
      <c r="D41" s="35"/>
      <c r="E41" s="35"/>
      <c r="F41" s="20"/>
      <c r="G41" s="17"/>
      <c r="H41" s="17"/>
      <c r="I41" s="17"/>
      <c r="J41" s="17"/>
      <c r="K41" s="17"/>
      <c r="N41" s="34"/>
      <c r="O41" s="33"/>
      <c r="Q41" s="24"/>
      <c r="R41" s="24"/>
      <c r="S41" s="24"/>
      <c r="T41" s="24"/>
      <c r="U41" s="17"/>
      <c r="V41" s="17"/>
      <c r="W41" s="17"/>
      <c r="X41" s="17"/>
      <c r="Y41" s="17"/>
      <c r="Z41" s="17"/>
      <c r="AA41" s="32"/>
      <c r="AB41" s="17"/>
    </row>
    <row r="42" spans="1:58" ht="17.100000000000001" customHeight="1">
      <c r="A42" s="31"/>
      <c r="B42" s="30"/>
      <c r="C42" s="30"/>
      <c r="D42" s="30"/>
      <c r="E42" s="30"/>
      <c r="U42" s="17"/>
      <c r="V42" s="17"/>
      <c r="W42" s="24"/>
      <c r="X42" s="24"/>
      <c r="Y42" s="24"/>
      <c r="Z42" s="24"/>
      <c r="AA42" s="29"/>
      <c r="AB42" s="17"/>
    </row>
    <row r="43" spans="1:58" ht="17.100000000000001" customHeight="1">
      <c r="A43" s="28"/>
      <c r="B43" s="27"/>
      <c r="C43" s="27"/>
      <c r="D43" s="27"/>
      <c r="E43" s="27"/>
      <c r="F43" s="2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5"/>
      <c r="AB43" s="24"/>
      <c r="AS43" s="3"/>
      <c r="AT43" s="3"/>
      <c r="AU43" s="3"/>
      <c r="AV43" s="3"/>
      <c r="AW43" s="3"/>
      <c r="AX43" s="3"/>
    </row>
    <row r="44" spans="1:58" ht="17.100000000000001" customHeight="1">
      <c r="A44" s="21"/>
      <c r="B44" s="23"/>
      <c r="C44" s="22"/>
      <c r="D44" s="21"/>
      <c r="E44" s="21"/>
      <c r="F44" s="23"/>
      <c r="G44" s="22"/>
      <c r="H44" s="21"/>
      <c r="I44" s="21"/>
      <c r="J44" s="23"/>
      <c r="K44" s="22"/>
      <c r="L44" s="21"/>
      <c r="M44" s="21"/>
      <c r="N44" s="23"/>
      <c r="O44" s="22"/>
      <c r="P44" s="21"/>
      <c r="Q44" s="19"/>
      <c r="S44" s="19"/>
    </row>
    <row r="45" spans="1:58" ht="17.100000000000001" customHeight="1">
      <c r="A45" s="21"/>
      <c r="B45" s="23"/>
      <c r="C45" s="22"/>
      <c r="D45" s="21"/>
      <c r="E45" s="21"/>
      <c r="F45" s="23"/>
      <c r="G45" s="22"/>
      <c r="H45" s="21"/>
      <c r="I45" s="21"/>
      <c r="J45" s="23"/>
      <c r="K45" s="22"/>
      <c r="L45" s="21"/>
      <c r="M45" s="21"/>
      <c r="N45" s="23"/>
      <c r="O45" s="22"/>
      <c r="P45" s="21"/>
      <c r="Q45" s="19"/>
      <c r="R45" s="14"/>
      <c r="S45" s="19"/>
      <c r="T45" s="14"/>
    </row>
    <row r="46" spans="1:58" ht="17.100000000000001" customHeight="1">
      <c r="A46" s="19"/>
      <c r="C46" s="19"/>
      <c r="E46" s="19"/>
      <c r="G46" s="19"/>
      <c r="I46" s="19"/>
      <c r="K46" s="19"/>
      <c r="M46" s="19"/>
      <c r="O46" s="19"/>
      <c r="Q46" s="19"/>
      <c r="S46" s="19"/>
    </row>
    <row r="47" spans="1:58" ht="17.100000000000001" customHeight="1">
      <c r="A47" s="19"/>
      <c r="B47" s="14"/>
      <c r="C47" s="19"/>
      <c r="D47" s="14"/>
      <c r="E47" s="19"/>
      <c r="F47" s="14"/>
      <c r="G47" s="19"/>
      <c r="H47" s="14"/>
      <c r="I47" s="19"/>
      <c r="J47" s="14"/>
      <c r="K47" s="19"/>
      <c r="L47" s="14"/>
      <c r="M47" s="19"/>
      <c r="N47" s="14"/>
      <c r="O47" s="19"/>
      <c r="P47" s="14"/>
      <c r="Q47" s="19"/>
      <c r="R47" s="14"/>
      <c r="S47" s="19"/>
      <c r="T47" s="14"/>
    </row>
    <row r="48" spans="1:58" ht="17.100000000000001" customHeight="1">
      <c r="A48" s="19"/>
      <c r="C48" s="19"/>
      <c r="E48" s="19"/>
      <c r="G48" s="19"/>
      <c r="I48" s="19"/>
      <c r="K48" s="19"/>
      <c r="M48" s="19"/>
      <c r="O48" s="19"/>
      <c r="Q48" s="19"/>
      <c r="S48" s="19"/>
    </row>
    <row r="49" spans="1:28" ht="17.100000000000001" customHeight="1">
      <c r="A49" s="19"/>
      <c r="B49" s="17"/>
      <c r="C49" s="19"/>
      <c r="D49" s="17"/>
      <c r="E49" s="19"/>
      <c r="F49" s="17"/>
      <c r="G49" s="19"/>
      <c r="H49" s="17"/>
      <c r="I49" s="19"/>
      <c r="J49" s="17"/>
      <c r="K49" s="19"/>
      <c r="L49" s="17"/>
      <c r="M49" s="19"/>
      <c r="N49" s="17"/>
      <c r="O49" s="19"/>
      <c r="P49" s="17"/>
      <c r="Q49" s="19"/>
      <c r="R49" s="17"/>
      <c r="S49" s="19"/>
      <c r="T49" s="17"/>
      <c r="V49" s="17"/>
      <c r="W49" s="17"/>
      <c r="X49" s="17"/>
      <c r="Y49" s="17"/>
      <c r="Z49" s="17"/>
      <c r="AA49" s="17"/>
    </row>
    <row r="50" spans="1:28" ht="17.100000000000001" customHeight="1">
      <c r="A50" s="19"/>
      <c r="B50" s="17"/>
      <c r="C50" s="19"/>
      <c r="D50" s="17"/>
      <c r="E50" s="19"/>
      <c r="F50" s="17"/>
      <c r="G50" s="19"/>
      <c r="H50" s="17"/>
      <c r="I50" s="19"/>
      <c r="J50" s="17"/>
      <c r="K50" s="19"/>
      <c r="L50" s="17"/>
      <c r="M50" s="19"/>
      <c r="N50" s="17"/>
      <c r="O50" s="19"/>
      <c r="P50" s="17"/>
      <c r="Q50" s="19"/>
      <c r="R50" s="17"/>
      <c r="S50" s="19"/>
      <c r="T50" s="17"/>
      <c r="V50" s="17"/>
      <c r="W50" s="17"/>
      <c r="X50" s="17"/>
      <c r="Y50" s="17"/>
      <c r="Z50" s="17"/>
      <c r="AA50" s="17"/>
    </row>
    <row r="51" spans="1:28" ht="17.100000000000001" customHeight="1">
      <c r="A51" s="19"/>
      <c r="B51" s="17"/>
      <c r="C51" s="19"/>
      <c r="D51" s="17"/>
      <c r="E51" s="19"/>
      <c r="F51" s="17"/>
      <c r="G51" s="19"/>
      <c r="H51" s="17"/>
      <c r="I51" s="19"/>
      <c r="J51" s="17"/>
      <c r="K51" s="19"/>
      <c r="L51" s="17"/>
      <c r="M51" s="19"/>
      <c r="N51" s="17"/>
      <c r="O51" s="19"/>
      <c r="P51" s="17"/>
      <c r="Q51" s="19"/>
      <c r="R51" s="17"/>
      <c r="S51" s="19"/>
      <c r="T51" s="17"/>
      <c r="V51" s="10"/>
      <c r="W51" s="20"/>
      <c r="X51" s="20"/>
      <c r="Y51" s="20"/>
      <c r="Z51" s="20"/>
      <c r="AA51" s="20"/>
      <c r="AB51" s="20"/>
    </row>
    <row r="52" spans="1:28" ht="17.100000000000001" customHeight="1">
      <c r="A52" s="19"/>
      <c r="B52" s="17"/>
      <c r="C52" s="19"/>
      <c r="D52" s="17"/>
      <c r="E52" s="19"/>
      <c r="F52" s="17"/>
      <c r="G52" s="19"/>
      <c r="H52" s="17"/>
      <c r="I52" s="19"/>
      <c r="J52" s="17"/>
      <c r="K52" s="19"/>
      <c r="L52" s="17"/>
      <c r="M52" s="19"/>
      <c r="N52" s="17"/>
      <c r="O52" s="19"/>
      <c r="P52" s="17"/>
      <c r="Q52" s="19"/>
      <c r="R52" s="17"/>
      <c r="S52" s="19"/>
      <c r="T52" s="17"/>
      <c r="V52" s="10"/>
      <c r="W52" s="20"/>
      <c r="X52" s="20"/>
      <c r="Y52" s="20"/>
      <c r="Z52" s="20"/>
      <c r="AA52" s="20"/>
      <c r="AB52" s="20"/>
    </row>
    <row r="53" spans="1:28" ht="17.100000000000001" customHeight="1">
      <c r="A53" s="19"/>
      <c r="B53" s="17"/>
      <c r="C53" s="19"/>
      <c r="D53" s="17"/>
      <c r="E53" s="19"/>
      <c r="F53" s="17"/>
      <c r="G53" s="19"/>
      <c r="H53" s="17"/>
      <c r="I53" s="19"/>
      <c r="J53" s="17"/>
      <c r="K53" s="19"/>
      <c r="L53" s="17"/>
      <c r="M53" s="19"/>
      <c r="N53" s="17"/>
      <c r="O53" s="19"/>
      <c r="P53" s="17"/>
      <c r="Q53" s="19"/>
      <c r="R53" s="17"/>
      <c r="S53" s="19"/>
      <c r="T53" s="17"/>
    </row>
    <row r="54" spans="1:28" ht="17.100000000000001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spans="1:28" ht="17.100000000000001" customHeight="1">
      <c r="A55" s="17"/>
      <c r="B55" s="17"/>
      <c r="C55" s="17"/>
      <c r="D55" s="17"/>
      <c r="E55" s="17"/>
      <c r="F55" s="17"/>
      <c r="G55" s="17"/>
      <c r="H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8" ht="17.100000000000001" customHeight="1">
      <c r="A56" s="5"/>
      <c r="B56" s="5"/>
      <c r="C56" s="5"/>
      <c r="D56" s="5"/>
      <c r="E56" s="5"/>
      <c r="F56" s="5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6"/>
      <c r="S56" s="6"/>
      <c r="T56" s="6"/>
      <c r="U56" s="6"/>
      <c r="V56" s="6"/>
      <c r="W56" s="17"/>
      <c r="X56" s="17"/>
      <c r="Y56" s="17"/>
      <c r="Z56" s="17"/>
      <c r="AA56" s="17"/>
    </row>
    <row r="57" spans="1:28" ht="17.100000000000001" customHeight="1">
      <c r="A57" s="17"/>
      <c r="B57" s="15"/>
      <c r="C57" s="5"/>
      <c r="D57" s="5"/>
      <c r="E57" s="15"/>
      <c r="F57" s="5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8"/>
      <c r="S57" s="6"/>
      <c r="T57" s="6"/>
      <c r="U57" s="6"/>
      <c r="V57" s="17"/>
      <c r="W57" s="17"/>
      <c r="X57" s="17"/>
      <c r="Y57" s="17"/>
      <c r="Z57" s="17"/>
      <c r="AA57" s="17"/>
    </row>
    <row r="58" spans="1:28" ht="17.100000000000001" customHeight="1">
      <c r="A58" s="5"/>
      <c r="B58" s="5"/>
      <c r="C58" s="5"/>
      <c r="D58" s="5"/>
      <c r="E58" s="5"/>
      <c r="F58" s="5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6"/>
      <c r="S58" s="6"/>
      <c r="T58" s="6"/>
      <c r="U58" s="6"/>
      <c r="V58" s="17"/>
      <c r="W58" s="17"/>
      <c r="X58" s="17"/>
      <c r="Y58" s="17"/>
      <c r="Z58" s="17"/>
      <c r="AA58" s="17"/>
    </row>
    <row r="59" spans="1:28" ht="17.100000000000001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6"/>
      <c r="S59" s="15"/>
      <c r="T59" s="15"/>
      <c r="U59" s="15"/>
      <c r="V59" s="15"/>
      <c r="W59" s="15"/>
      <c r="X59" s="15"/>
      <c r="Y59" s="15"/>
      <c r="Z59" s="15"/>
      <c r="AA59" s="15"/>
    </row>
    <row r="60" spans="1:28" ht="17.100000000000001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8" ht="17.10000000000000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6"/>
      <c r="S61" s="15"/>
      <c r="T61" s="15"/>
      <c r="U61" s="15"/>
      <c r="V61" s="15"/>
      <c r="W61" s="15"/>
      <c r="X61" s="15"/>
      <c r="Y61" s="15"/>
      <c r="Z61" s="15"/>
      <c r="AA61" s="15"/>
    </row>
    <row r="62" spans="1:28" ht="17.100000000000001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8" ht="17.100000000000001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6"/>
      <c r="S63" s="15"/>
      <c r="T63" s="15"/>
      <c r="U63" s="15"/>
      <c r="V63" s="15"/>
      <c r="W63" s="15"/>
      <c r="X63" s="15"/>
      <c r="Y63" s="15"/>
      <c r="Z63" s="15"/>
      <c r="AA63" s="15"/>
    </row>
    <row r="64" spans="1:28" ht="17.100000000000001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9" ht="17.10000000000000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6"/>
      <c r="S65" s="15"/>
      <c r="T65" s="15"/>
      <c r="U65" s="15"/>
      <c r="V65" s="15"/>
      <c r="W65" s="15"/>
      <c r="X65" s="15"/>
      <c r="Y65" s="15"/>
      <c r="Z65" s="15"/>
      <c r="AA65" s="15"/>
    </row>
    <row r="66" spans="1:29" ht="17.100000000000001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9" ht="17.10000000000000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6"/>
      <c r="S67" s="15"/>
      <c r="T67" s="15"/>
      <c r="U67" s="15"/>
      <c r="V67" s="15"/>
      <c r="W67" s="15"/>
      <c r="X67" s="15"/>
      <c r="Y67" s="15"/>
      <c r="Z67" s="15"/>
      <c r="AA67" s="15"/>
    </row>
    <row r="68" spans="1:29" ht="17.100000000000001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9" ht="17.100000000000001" customHeight="1">
      <c r="A69" s="12"/>
      <c r="B69" s="12"/>
      <c r="C69" s="12"/>
      <c r="D69" s="12"/>
      <c r="E69" s="12"/>
      <c r="F69" s="12"/>
      <c r="R69" s="13"/>
      <c r="S69" s="11"/>
      <c r="T69" s="11"/>
      <c r="U69" s="11"/>
    </row>
    <row r="70" spans="1:29" ht="17.100000000000001" customHeight="1">
      <c r="A70" s="12"/>
      <c r="B70" s="12"/>
      <c r="C70" s="12"/>
      <c r="D70" s="12"/>
      <c r="E70" s="12"/>
      <c r="F70" s="12"/>
      <c r="R70" s="11"/>
      <c r="S70" s="11"/>
      <c r="T70" s="11"/>
      <c r="U70" s="11"/>
    </row>
    <row r="71" spans="1:29" ht="17.100000000000001" customHeight="1">
      <c r="A71" s="12"/>
      <c r="B71" s="12"/>
      <c r="C71" s="12"/>
      <c r="D71" s="12"/>
      <c r="E71" s="12"/>
      <c r="F71" s="12"/>
      <c r="R71" s="13"/>
      <c r="S71" s="11"/>
      <c r="T71" s="11"/>
      <c r="U71" s="11"/>
      <c r="V71" s="11"/>
    </row>
    <row r="72" spans="1:29" ht="17.100000000000001" customHeight="1">
      <c r="A72" s="12"/>
      <c r="B72" s="12"/>
      <c r="C72" s="12"/>
      <c r="D72" s="12"/>
      <c r="E72" s="12"/>
      <c r="F72" s="12"/>
      <c r="R72" s="11"/>
      <c r="S72" s="11"/>
      <c r="T72" s="11"/>
      <c r="U72" s="11"/>
      <c r="V72" s="11"/>
    </row>
    <row r="73" spans="1:29" ht="17.100000000000001" customHeight="1">
      <c r="A73" s="10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9"/>
      <c r="S73" s="7"/>
      <c r="T73" s="7"/>
      <c r="U73" s="7"/>
      <c r="V73" s="6"/>
      <c r="W73" s="8"/>
      <c r="X73" s="5"/>
      <c r="Y73" s="5"/>
      <c r="Z73" s="5"/>
      <c r="AA73" s="5"/>
      <c r="AB73" s="5"/>
      <c r="AC73" s="5"/>
    </row>
    <row r="74" spans="1:29" ht="17.100000000000001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7"/>
      <c r="U74" s="7"/>
      <c r="V74" s="6"/>
      <c r="W74" s="5"/>
      <c r="X74" s="5"/>
      <c r="Y74" s="5"/>
      <c r="Z74" s="5"/>
      <c r="AA74" s="5"/>
      <c r="AB74" s="5"/>
      <c r="AC74" s="5"/>
    </row>
    <row r="97" spans="43:50" ht="17.100000000000001" customHeight="1">
      <c r="AQ97" s="3"/>
      <c r="AR97" s="4"/>
      <c r="AS97" s="3"/>
      <c r="AT97" s="4"/>
      <c r="AU97" s="3"/>
      <c r="AV97" s="4"/>
      <c r="AW97" s="3"/>
      <c r="AX97" s="4"/>
    </row>
    <row r="98" spans="43:50" ht="17.100000000000001" customHeight="1">
      <c r="AQ98" s="4"/>
      <c r="AR98" s="4"/>
      <c r="AS98" s="4"/>
      <c r="AT98" s="4"/>
      <c r="AU98" s="4"/>
      <c r="AV98" s="4"/>
      <c r="AW98" s="4"/>
      <c r="AX98" s="4"/>
    </row>
    <row r="99" spans="43:50" ht="17.100000000000001" customHeight="1">
      <c r="AQ99" s="4"/>
      <c r="AR99" s="4"/>
      <c r="AS99" s="4"/>
      <c r="AT99" s="4"/>
      <c r="AU99" s="4"/>
      <c r="AV99" s="4"/>
      <c r="AW99" s="4"/>
      <c r="AX99" s="4"/>
    </row>
    <row r="100" spans="43:50" ht="17.100000000000001" customHeight="1">
      <c r="AQ100" s="4"/>
      <c r="AR100" s="4"/>
      <c r="AS100" s="4"/>
      <c r="AT100" s="4"/>
      <c r="AU100" s="4"/>
      <c r="AV100" s="4"/>
      <c r="AW100" s="4"/>
      <c r="AX100" s="4"/>
    </row>
    <row r="101" spans="43:50" ht="17.100000000000001" customHeight="1">
      <c r="AQ101" s="3"/>
      <c r="AR101" s="4"/>
      <c r="AS101" s="3"/>
      <c r="AT101" s="4"/>
      <c r="AU101" s="3"/>
      <c r="AV101" s="4"/>
      <c r="AW101" s="3"/>
      <c r="AX101" s="4"/>
    </row>
    <row r="102" spans="43:50" ht="17.100000000000001" customHeight="1">
      <c r="AQ102" s="4"/>
      <c r="AR102" s="4"/>
      <c r="AS102" s="4"/>
      <c r="AT102" s="4"/>
      <c r="AU102" s="4"/>
      <c r="AV102" s="4"/>
      <c r="AW102" s="4"/>
      <c r="AX102" s="4"/>
    </row>
    <row r="103" spans="43:50" ht="17.100000000000001" customHeight="1">
      <c r="AQ103" s="4"/>
      <c r="AR103" s="4"/>
      <c r="AS103" s="4"/>
      <c r="AT103" s="4"/>
      <c r="AU103" s="4"/>
      <c r="AV103" s="4"/>
      <c r="AW103" s="4"/>
      <c r="AX103" s="4"/>
    </row>
    <row r="104" spans="43:50" ht="17.100000000000001" customHeight="1">
      <c r="AQ104" s="4"/>
      <c r="AR104" s="4"/>
      <c r="AS104" s="4"/>
      <c r="AT104" s="4"/>
      <c r="AU104" s="4"/>
      <c r="AV104" s="4"/>
      <c r="AW104" s="4"/>
      <c r="AX104" s="4"/>
    </row>
    <row r="106" spans="43:50" ht="17.100000000000001" customHeight="1">
      <c r="AQ106" s="3"/>
      <c r="AR106" s="4"/>
      <c r="AS106" s="3"/>
      <c r="AT106" s="4"/>
      <c r="AU106" s="3"/>
      <c r="AV106" s="4"/>
      <c r="AW106" s="3"/>
      <c r="AX106" s="4"/>
    </row>
    <row r="107" spans="43:50" ht="17.100000000000001" customHeight="1">
      <c r="AQ107" s="4"/>
      <c r="AR107" s="4"/>
      <c r="AS107" s="4"/>
      <c r="AT107" s="4"/>
      <c r="AU107" s="4"/>
      <c r="AV107" s="4"/>
      <c r="AW107" s="4"/>
      <c r="AX107" s="4"/>
    </row>
    <row r="108" spans="43:50" ht="17.100000000000001" customHeight="1">
      <c r="AQ108" s="4"/>
      <c r="AR108" s="4"/>
      <c r="AS108" s="4"/>
      <c r="AT108" s="4"/>
      <c r="AU108" s="4"/>
      <c r="AV108" s="4"/>
      <c r="AW108" s="4"/>
      <c r="AX108" s="4"/>
    </row>
    <row r="109" spans="43:50" ht="17.100000000000001" customHeight="1">
      <c r="AQ109" s="4"/>
      <c r="AR109" s="4"/>
      <c r="AS109" s="4"/>
      <c r="AT109" s="4"/>
      <c r="AU109" s="4"/>
      <c r="AV109" s="4"/>
      <c r="AW109" s="4"/>
      <c r="AX109" s="4"/>
    </row>
    <row r="116" spans="1:27" ht="17.100000000000001" customHeight="1">
      <c r="A116" s="4"/>
      <c r="C116" s="4"/>
      <c r="E116" s="4"/>
      <c r="F116" s="4"/>
      <c r="G116" s="4"/>
      <c r="H116" s="4"/>
      <c r="I116" s="4"/>
      <c r="K116" s="4"/>
      <c r="M116" s="4"/>
    </row>
    <row r="117" spans="1:27" ht="17.100000000000001" customHeight="1">
      <c r="A117" s="4"/>
      <c r="C117" s="4"/>
      <c r="E117" s="4"/>
      <c r="F117" s="4"/>
      <c r="G117" s="4"/>
      <c r="H117" s="4"/>
      <c r="I117" s="4"/>
      <c r="K117" s="4"/>
      <c r="M117" s="4"/>
    </row>
    <row r="118" spans="1:27" ht="17.100000000000001" customHeight="1">
      <c r="A118" s="4"/>
      <c r="C118" s="4"/>
      <c r="E118" s="4"/>
      <c r="F118" s="4"/>
      <c r="G118" s="4"/>
      <c r="H118" s="4"/>
      <c r="I118" s="4"/>
      <c r="K118" s="4"/>
      <c r="M118" s="4"/>
    </row>
    <row r="119" spans="1:27" ht="17.100000000000001" customHeight="1">
      <c r="A119" s="4"/>
      <c r="C119" s="4"/>
      <c r="E119" s="4"/>
      <c r="F119" s="4"/>
      <c r="G119" s="4"/>
      <c r="H119" s="4"/>
      <c r="I119" s="4"/>
      <c r="K119" s="4"/>
      <c r="M119" s="4"/>
      <c r="O119" s="4"/>
      <c r="Q119" s="4"/>
      <c r="S119" s="4"/>
      <c r="U119" s="4"/>
      <c r="W119" s="4"/>
      <c r="Y119" s="4"/>
      <c r="AA119" s="4"/>
    </row>
    <row r="120" spans="1:27" ht="17.100000000000001" customHeight="1">
      <c r="A120" s="4"/>
      <c r="C120" s="4"/>
      <c r="E120" s="4"/>
      <c r="F120" s="4"/>
      <c r="G120" s="4"/>
      <c r="H120" s="4"/>
      <c r="I120" s="4"/>
      <c r="K120" s="4"/>
      <c r="M120" s="4"/>
      <c r="O120" s="4"/>
      <c r="Q120" s="4"/>
      <c r="S120" s="4"/>
      <c r="U120" s="4"/>
      <c r="W120" s="4"/>
      <c r="Y120" s="4"/>
      <c r="AA120" s="4"/>
    </row>
    <row r="121" spans="1:27" ht="17.100000000000001" customHeight="1">
      <c r="A121" s="4"/>
      <c r="C121" s="4"/>
      <c r="E121" s="4"/>
      <c r="F121" s="4"/>
      <c r="G121" s="4"/>
      <c r="H121" s="4"/>
      <c r="I121" s="4"/>
      <c r="K121" s="4"/>
      <c r="M121" s="4"/>
      <c r="O121" s="4"/>
      <c r="Q121" s="4"/>
      <c r="S121" s="4"/>
      <c r="U121" s="4"/>
      <c r="W121" s="4"/>
      <c r="Y121" s="4"/>
      <c r="AA121" s="4"/>
    </row>
    <row r="122" spans="1:27" ht="17.100000000000001" customHeight="1">
      <c r="A122" s="4"/>
      <c r="C122" s="4"/>
      <c r="E122" s="4"/>
      <c r="F122" s="4"/>
      <c r="G122" s="4"/>
      <c r="H122" s="4"/>
      <c r="I122" s="4"/>
      <c r="K122" s="4"/>
      <c r="M122" s="4"/>
      <c r="O122" s="4"/>
      <c r="Q122" s="4"/>
      <c r="S122" s="4"/>
      <c r="U122" s="4"/>
      <c r="W122" s="4"/>
      <c r="Y122" s="4"/>
      <c r="AA122" s="4"/>
    </row>
    <row r="123" spans="1:27" ht="17.100000000000001" customHeight="1">
      <c r="A123" s="4"/>
      <c r="C123" s="4"/>
      <c r="E123" s="4"/>
      <c r="F123" s="4"/>
      <c r="G123" s="4"/>
      <c r="H123" s="4"/>
      <c r="I123" s="4"/>
      <c r="K123" s="4"/>
      <c r="M123" s="4"/>
      <c r="O123" s="4"/>
      <c r="Q123" s="4"/>
      <c r="S123" s="4"/>
      <c r="U123" s="4"/>
      <c r="W123" s="4"/>
      <c r="Y123" s="4"/>
      <c r="AA123" s="4"/>
    </row>
    <row r="124" spans="1:27" ht="17.100000000000001" customHeight="1">
      <c r="A124" s="4"/>
      <c r="C124" s="4"/>
      <c r="E124" s="4"/>
      <c r="F124" s="4"/>
      <c r="G124" s="4"/>
      <c r="H124" s="4"/>
      <c r="I124" s="4"/>
      <c r="K124" s="4"/>
      <c r="M124" s="4"/>
      <c r="O124" s="4"/>
      <c r="Q124" s="4"/>
      <c r="S124" s="4"/>
      <c r="U124" s="4"/>
      <c r="W124" s="4"/>
      <c r="Y124" s="4"/>
      <c r="AA124" s="4"/>
    </row>
    <row r="125" spans="1:27" ht="17.100000000000001" customHeight="1">
      <c r="A125" s="4"/>
      <c r="C125" s="4"/>
      <c r="E125" s="4"/>
      <c r="F125" s="4"/>
      <c r="G125" s="4"/>
      <c r="H125" s="4"/>
      <c r="I125" s="4"/>
      <c r="K125" s="4"/>
      <c r="M125" s="4"/>
      <c r="O125" s="4"/>
      <c r="Q125" s="4"/>
      <c r="S125" s="4"/>
      <c r="U125" s="4"/>
      <c r="W125" s="4"/>
      <c r="Y125" s="4"/>
      <c r="AA125" s="4"/>
    </row>
    <row r="126" spans="1:27" ht="17.100000000000001" customHeight="1">
      <c r="A126" s="4"/>
      <c r="C126" s="4"/>
      <c r="E126" s="4"/>
      <c r="F126" s="4"/>
      <c r="G126" s="4"/>
      <c r="H126" s="4"/>
      <c r="I126" s="4"/>
      <c r="K126" s="4"/>
      <c r="M126" s="4"/>
      <c r="O126" s="4"/>
      <c r="Q126" s="4"/>
      <c r="S126" s="4"/>
      <c r="U126" s="4"/>
      <c r="W126" s="4"/>
      <c r="Y126" s="4"/>
      <c r="AA126" s="4"/>
    </row>
    <row r="127" spans="1:27" ht="17.100000000000001" customHeight="1">
      <c r="A127" s="4"/>
      <c r="C127" s="4"/>
      <c r="E127" s="4"/>
      <c r="F127" s="4"/>
      <c r="G127" s="4"/>
      <c r="H127" s="4"/>
      <c r="I127" s="4"/>
      <c r="K127" s="4"/>
      <c r="M127" s="4"/>
      <c r="O127" s="4"/>
      <c r="Q127" s="4"/>
      <c r="S127" s="4"/>
      <c r="U127" s="4"/>
      <c r="W127" s="4"/>
      <c r="Y127" s="4"/>
      <c r="AA127" s="4"/>
    </row>
    <row r="128" spans="1:27" ht="17.100000000000001" customHeight="1">
      <c r="A128" s="4"/>
      <c r="C128" s="4"/>
      <c r="E128" s="4"/>
      <c r="F128" s="4"/>
      <c r="G128" s="4"/>
      <c r="H128" s="4"/>
      <c r="I128" s="4"/>
      <c r="K128" s="4"/>
      <c r="M128" s="4"/>
      <c r="O128" s="4"/>
      <c r="Q128" s="4"/>
      <c r="S128" s="4"/>
      <c r="U128" s="4"/>
      <c r="W128" s="4"/>
      <c r="Y128" s="4"/>
      <c r="AA128" s="4"/>
    </row>
    <row r="129" spans="1:49" ht="17.100000000000001" customHeight="1">
      <c r="A129" s="4"/>
      <c r="C129" s="4"/>
      <c r="E129" s="4"/>
      <c r="F129" s="4"/>
      <c r="G129" s="4"/>
      <c r="H129" s="4"/>
      <c r="I129" s="4"/>
      <c r="K129" s="4"/>
      <c r="M129" s="4"/>
      <c r="O129" s="4"/>
      <c r="Q129" s="4"/>
      <c r="S129" s="4"/>
      <c r="U129" s="4"/>
      <c r="W129" s="4"/>
      <c r="Y129" s="4"/>
      <c r="AA129" s="4"/>
    </row>
    <row r="130" spans="1:49" ht="17.100000000000001" customHeight="1">
      <c r="A130" s="4"/>
      <c r="C130" s="4"/>
      <c r="E130" s="4"/>
      <c r="F130" s="4"/>
      <c r="G130" s="4"/>
      <c r="H130" s="4"/>
      <c r="I130" s="4"/>
      <c r="K130" s="4"/>
      <c r="M130" s="4"/>
      <c r="O130" s="4"/>
      <c r="Q130" s="4"/>
      <c r="S130" s="4"/>
      <c r="U130" s="4"/>
      <c r="W130" s="4"/>
      <c r="Y130" s="4"/>
      <c r="AA130" s="4"/>
    </row>
    <row r="131" spans="1:49" ht="17.100000000000001" customHeight="1">
      <c r="A131" s="4"/>
      <c r="C131" s="4"/>
      <c r="E131" s="4"/>
      <c r="F131" s="4"/>
      <c r="G131" s="4"/>
      <c r="H131" s="4"/>
      <c r="I131" s="4"/>
      <c r="K131" s="4"/>
      <c r="M131" s="4"/>
      <c r="O131" s="4"/>
      <c r="Q131" s="4"/>
      <c r="S131" s="4"/>
      <c r="U131" s="4"/>
      <c r="W131" s="4"/>
      <c r="Y131" s="4"/>
      <c r="AA131" s="4"/>
      <c r="AE131" s="4"/>
      <c r="AG131" s="4"/>
      <c r="AI131" s="4"/>
      <c r="AJ131" s="4"/>
      <c r="AK131" s="4"/>
      <c r="AL131" s="4"/>
      <c r="AM131" s="4"/>
      <c r="AO131" s="4"/>
      <c r="AQ131" s="4"/>
      <c r="AS131" s="4"/>
      <c r="AU131" s="4"/>
      <c r="AW131" s="4"/>
    </row>
    <row r="132" spans="1:49" ht="17.10000000000000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AE132" s="4"/>
      <c r="AG132" s="4"/>
      <c r="AI132" s="4"/>
      <c r="AJ132" s="4"/>
      <c r="AK132" s="4"/>
      <c r="AL132" s="4"/>
      <c r="AM132" s="4"/>
      <c r="AO132" s="4"/>
      <c r="AQ132" s="4"/>
      <c r="AS132" s="4"/>
      <c r="AU132" s="4"/>
      <c r="AW132" s="4"/>
    </row>
    <row r="133" spans="1:49" ht="17.10000000000000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AE133" s="4"/>
      <c r="AG133" s="4"/>
      <c r="AI133" s="4"/>
      <c r="AJ133" s="4"/>
      <c r="AK133" s="4"/>
      <c r="AL133" s="4"/>
      <c r="AM133" s="4"/>
      <c r="AO133" s="4"/>
      <c r="AQ133" s="4"/>
      <c r="AS133" s="4"/>
      <c r="AU133" s="4"/>
      <c r="AW133" s="4"/>
    </row>
    <row r="134" spans="1:49" ht="17.10000000000000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AE134" s="4"/>
      <c r="AG134" s="4"/>
      <c r="AI134" s="4"/>
      <c r="AJ134" s="4"/>
      <c r="AK134" s="4"/>
      <c r="AL134" s="4"/>
      <c r="AM134" s="4"/>
      <c r="AO134" s="4"/>
      <c r="AQ134" s="4"/>
      <c r="AS134" s="4"/>
      <c r="AU134" s="4"/>
      <c r="AW134" s="4"/>
    </row>
    <row r="135" spans="1:49" ht="17.10000000000000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AE135" s="4"/>
      <c r="AG135" s="4"/>
      <c r="AI135" s="4"/>
      <c r="AJ135" s="4"/>
      <c r="AK135" s="4"/>
      <c r="AL135" s="4"/>
      <c r="AM135" s="4"/>
      <c r="AO135" s="4"/>
      <c r="AQ135" s="4"/>
      <c r="AS135" s="4"/>
      <c r="AU135" s="4"/>
      <c r="AW135" s="4"/>
    </row>
    <row r="136" spans="1:49" ht="17.10000000000000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AE136" s="4"/>
      <c r="AG136" s="4"/>
      <c r="AI136" s="4"/>
      <c r="AJ136" s="4"/>
      <c r="AK136" s="4"/>
      <c r="AL136" s="4"/>
      <c r="AM136" s="4"/>
      <c r="AO136" s="4"/>
      <c r="AQ136" s="4"/>
      <c r="AS136" s="4"/>
      <c r="AU136" s="4"/>
      <c r="AW136" s="4"/>
    </row>
    <row r="137" spans="1:49" ht="17.10000000000000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AE137" s="4"/>
      <c r="AG137" s="4"/>
      <c r="AI137" s="4"/>
      <c r="AJ137" s="4"/>
      <c r="AK137" s="4"/>
      <c r="AL137" s="4"/>
      <c r="AM137" s="4"/>
      <c r="AO137" s="4"/>
      <c r="AQ137" s="4"/>
      <c r="AS137" s="4"/>
      <c r="AU137" s="4"/>
      <c r="AW137" s="4"/>
    </row>
    <row r="138" spans="1:49" ht="17.100000000000001" customHeight="1">
      <c r="AE138" s="4"/>
      <c r="AG138" s="4"/>
      <c r="AI138" s="4"/>
      <c r="AJ138" s="4"/>
      <c r="AK138" s="4"/>
      <c r="AL138" s="4"/>
      <c r="AM138" s="4"/>
      <c r="AO138" s="4"/>
      <c r="AQ138" s="4"/>
      <c r="AS138" s="4"/>
      <c r="AU138" s="4"/>
      <c r="AW138" s="4"/>
    </row>
    <row r="139" spans="1:49" ht="17.100000000000001" customHeight="1">
      <c r="AE139" s="4"/>
      <c r="AG139" s="4"/>
      <c r="AI139" s="4"/>
      <c r="AJ139" s="4"/>
      <c r="AK139" s="4"/>
      <c r="AL139" s="4"/>
      <c r="AM139" s="4"/>
      <c r="AO139" s="4"/>
      <c r="AQ139" s="4"/>
      <c r="AS139" s="4"/>
      <c r="AU139" s="4"/>
      <c r="AW139" s="4"/>
    </row>
    <row r="140" spans="1:49" ht="17.100000000000001" customHeight="1">
      <c r="AU140" s="4"/>
      <c r="AW140" s="4"/>
    </row>
    <row r="141" spans="1:49" ht="17.100000000000001" customHeight="1">
      <c r="AU141" s="4"/>
      <c r="AW141" s="4"/>
    </row>
    <row r="142" spans="1:49" ht="17.100000000000001" customHeight="1">
      <c r="AU142" s="4"/>
      <c r="AW142" s="4"/>
    </row>
    <row r="143" spans="1:49" ht="17.100000000000001" customHeight="1">
      <c r="AU143" s="4"/>
      <c r="AW143" s="4"/>
    </row>
    <row r="144" spans="1:49" ht="17.100000000000001" customHeight="1">
      <c r="AU144" s="4"/>
      <c r="AW144" s="4"/>
    </row>
    <row r="145" spans="47:49" ht="17.100000000000001" customHeight="1">
      <c r="AU145" s="4"/>
      <c r="AW145" s="4"/>
    </row>
    <row r="146" spans="47:49" ht="17.100000000000001" customHeight="1">
      <c r="AU146" s="4"/>
      <c r="AW146" s="4"/>
    </row>
    <row r="183" spans="1:4" ht="17.100000000000001" customHeight="1">
      <c r="A183" s="3"/>
      <c r="B183" s="3"/>
      <c r="C183" s="3"/>
      <c r="D183" s="3"/>
    </row>
    <row r="184" spans="1:4" ht="17.100000000000001" customHeight="1">
      <c r="A184" s="3"/>
      <c r="B184" s="3"/>
      <c r="C184" s="3"/>
      <c r="D184" s="3"/>
    </row>
    <row r="196" spans="3:13" ht="17.100000000000001" customHeight="1">
      <c r="L196" s="2"/>
      <c r="M196" s="2"/>
    </row>
    <row r="197" spans="3:13" ht="17.100000000000001" customHeight="1">
      <c r="L197" s="2"/>
      <c r="M197" s="2"/>
    </row>
    <row r="198" spans="3:13" ht="17.100000000000001" customHeight="1">
      <c r="L198" s="2"/>
      <c r="M198" s="2"/>
    </row>
    <row r="199" spans="3:13" ht="17.100000000000001" customHeight="1">
      <c r="L199" s="2"/>
      <c r="M199" s="2"/>
    </row>
    <row r="200" spans="3:13" ht="17.100000000000001" customHeight="1">
      <c r="L200" s="2"/>
      <c r="M200" s="2"/>
    </row>
    <row r="201" spans="3:13" ht="17.100000000000001" customHeight="1">
      <c r="L201" s="2"/>
    </row>
    <row r="202" spans="3:13" ht="17.100000000000001" customHeight="1">
      <c r="L202" s="2"/>
      <c r="M202" s="2"/>
    </row>
    <row r="203" spans="3:13" ht="17.100000000000001" customHeight="1">
      <c r="C203" s="2"/>
      <c r="D203" s="2"/>
      <c r="E203" s="2"/>
      <c r="F203" s="2"/>
      <c r="G203" s="2"/>
      <c r="H203" s="2"/>
      <c r="I203" s="2"/>
      <c r="J203" s="2"/>
      <c r="L203" s="2"/>
      <c r="M203" s="2"/>
    </row>
    <row r="204" spans="3:13" ht="17.100000000000001" customHeight="1">
      <c r="C204" s="2"/>
      <c r="D204" s="2"/>
      <c r="E204" s="2"/>
      <c r="F204" s="2"/>
      <c r="G204" s="2"/>
      <c r="H204" s="2"/>
      <c r="I204" s="2"/>
      <c r="J204" s="2"/>
      <c r="L204" s="2"/>
    </row>
    <row r="205" spans="3:13" ht="17.100000000000001" customHeight="1">
      <c r="C205" s="2"/>
      <c r="D205" s="2"/>
      <c r="E205" s="2"/>
      <c r="F205" s="2"/>
      <c r="G205" s="2"/>
      <c r="H205" s="2"/>
      <c r="I205" s="2"/>
      <c r="J205" s="2"/>
      <c r="M205" s="2"/>
    </row>
    <row r="206" spans="3:13" ht="17.100000000000001" customHeight="1">
      <c r="C206" s="2"/>
      <c r="D206" s="2"/>
      <c r="E206" s="2"/>
      <c r="F206" s="2"/>
      <c r="G206" s="2"/>
      <c r="H206" s="2"/>
      <c r="I206" s="2"/>
      <c r="J206" s="2"/>
      <c r="M206" s="2"/>
    </row>
    <row r="207" spans="3:13" ht="17.100000000000001" customHeight="1">
      <c r="C207" s="2"/>
      <c r="D207" s="2"/>
      <c r="E207" s="2"/>
      <c r="F207" s="2"/>
      <c r="G207" s="2"/>
      <c r="H207" s="2"/>
      <c r="I207" s="2"/>
      <c r="J207" s="2"/>
      <c r="M207" s="2"/>
    </row>
    <row r="209" spans="3:23" ht="17.100000000000001" customHeight="1">
      <c r="M209" s="2"/>
      <c r="N209" s="2"/>
      <c r="O209" s="2"/>
      <c r="P209" s="2"/>
    </row>
    <row r="210" spans="3:23" ht="17.100000000000001" customHeight="1">
      <c r="C210" s="2"/>
      <c r="D210" s="2"/>
      <c r="E210" s="2"/>
      <c r="F210" s="2"/>
      <c r="G210" s="2"/>
      <c r="H210" s="2"/>
      <c r="I210" s="2"/>
      <c r="J210" s="2"/>
    </row>
    <row r="211" spans="3:23" ht="17.100000000000001" customHeight="1">
      <c r="C211" s="2"/>
      <c r="D211" s="2"/>
      <c r="E211" s="2"/>
      <c r="F211" s="2"/>
      <c r="G211" s="2"/>
      <c r="H211" s="2"/>
      <c r="I211" s="2"/>
      <c r="J211" s="2"/>
      <c r="M211" s="2"/>
    </row>
    <row r="212" spans="3:23" ht="17.100000000000001" customHeight="1">
      <c r="C212" s="2"/>
      <c r="D212" s="2"/>
      <c r="E212" s="2"/>
      <c r="F212" s="2"/>
      <c r="G212" s="2"/>
      <c r="H212" s="2"/>
      <c r="I212" s="2"/>
      <c r="J212" s="2"/>
      <c r="M212" s="2"/>
    </row>
    <row r="213" spans="3:23" ht="17.100000000000001" customHeight="1">
      <c r="C213" s="2"/>
      <c r="D213" s="2"/>
      <c r="E213" s="2"/>
      <c r="F213" s="2"/>
      <c r="G213" s="2"/>
      <c r="H213" s="2"/>
      <c r="I213" s="2"/>
      <c r="J213" s="2"/>
    </row>
    <row r="214" spans="3:23" ht="17.100000000000001" customHeight="1">
      <c r="C214" s="2"/>
      <c r="D214" s="2"/>
      <c r="E214" s="2"/>
      <c r="F214" s="2"/>
      <c r="G214" s="2"/>
      <c r="H214" s="2"/>
      <c r="I214" s="2"/>
      <c r="J214" s="2"/>
      <c r="M214" s="2"/>
    </row>
    <row r="215" spans="3:23" ht="17.100000000000001" customHeight="1">
      <c r="M215" s="2"/>
    </row>
    <row r="216" spans="3:23" ht="17.100000000000001" customHeight="1">
      <c r="M216" s="2"/>
    </row>
    <row r="220" spans="3:23" ht="17.100000000000001" customHeight="1">
      <c r="C220" s="2"/>
      <c r="D220" s="2"/>
      <c r="E220" s="2"/>
      <c r="F220" s="2"/>
      <c r="G220" s="2"/>
      <c r="H220" s="2"/>
      <c r="I220" s="2"/>
      <c r="J220" s="2"/>
      <c r="P220" s="2"/>
      <c r="Q220" s="2"/>
      <c r="R220" s="2"/>
      <c r="S220" s="2"/>
      <c r="T220" s="2"/>
      <c r="U220" s="2"/>
      <c r="V220" s="2"/>
      <c r="W220" s="2"/>
    </row>
    <row r="221" spans="3:23" ht="17.100000000000001" customHeight="1">
      <c r="C221" s="2"/>
      <c r="D221" s="2"/>
      <c r="E221" s="2"/>
      <c r="F221" s="2"/>
      <c r="G221" s="2"/>
      <c r="H221" s="2"/>
      <c r="I221" s="2"/>
      <c r="J221" s="2"/>
      <c r="P221" s="2"/>
      <c r="Q221" s="2"/>
      <c r="R221" s="2"/>
      <c r="S221" s="2"/>
      <c r="T221" s="2"/>
      <c r="U221" s="2"/>
      <c r="V221" s="2"/>
      <c r="W221" s="2"/>
    </row>
    <row r="222" spans="3:23" ht="17.100000000000001" customHeight="1">
      <c r="C222" s="2"/>
      <c r="D222" s="2"/>
      <c r="E222" s="2"/>
      <c r="F222" s="2"/>
      <c r="G222" s="2"/>
      <c r="H222" s="2"/>
      <c r="I222" s="2"/>
      <c r="J222" s="2"/>
      <c r="P222" s="2"/>
      <c r="Q222" s="2"/>
      <c r="R222" s="2"/>
      <c r="S222" s="2"/>
      <c r="T222" s="2"/>
      <c r="U222" s="2"/>
      <c r="V222" s="2"/>
      <c r="W222" s="2"/>
    </row>
    <row r="223" spans="3:23" ht="17.100000000000001" customHeight="1">
      <c r="C223" s="2"/>
      <c r="D223" s="2"/>
      <c r="E223" s="2"/>
      <c r="F223" s="2"/>
      <c r="G223" s="2"/>
      <c r="H223" s="2"/>
      <c r="I223" s="2"/>
      <c r="J223" s="2"/>
      <c r="P223" s="2"/>
      <c r="Q223" s="2"/>
      <c r="R223" s="2"/>
      <c r="S223" s="2"/>
      <c r="T223" s="2"/>
      <c r="U223" s="2"/>
      <c r="V223" s="2"/>
      <c r="W223" s="2"/>
    </row>
    <row r="224" spans="3:23" ht="17.100000000000001" customHeight="1">
      <c r="C224" s="2"/>
      <c r="D224" s="2"/>
      <c r="E224" s="2"/>
      <c r="F224" s="2"/>
      <c r="G224" s="2"/>
      <c r="H224" s="2"/>
      <c r="I224" s="2"/>
      <c r="J224" s="2"/>
      <c r="P224" s="2"/>
      <c r="Q224" s="2"/>
      <c r="R224" s="2"/>
      <c r="S224" s="2"/>
      <c r="T224" s="2"/>
      <c r="U224" s="2"/>
      <c r="V224" s="2"/>
      <c r="W224" s="2"/>
    </row>
  </sheetData>
  <mergeCells count="17">
    <mergeCell ref="T5:AA5"/>
    <mergeCell ref="A1:AA4"/>
    <mergeCell ref="A14:G16"/>
    <mergeCell ref="A17:G19"/>
    <mergeCell ref="B7:K7"/>
    <mergeCell ref="H14:AA16"/>
    <mergeCell ref="H17:AA19"/>
    <mergeCell ref="A29:G31"/>
    <mergeCell ref="H29:AA31"/>
    <mergeCell ref="H26:AA28"/>
    <mergeCell ref="A20:G22"/>
    <mergeCell ref="A23:G25"/>
    <mergeCell ref="A26:G28"/>
    <mergeCell ref="H20:AA22"/>
    <mergeCell ref="H23:P25"/>
    <mergeCell ref="S23:AA25"/>
    <mergeCell ref="Q23:R25"/>
  </mergeCells>
  <phoneticPr fontId="8"/>
  <pageMargins left="0.98425196850393704" right="0.39370078740157483" top="0.78740157480314965" bottom="0.39370078740157483" header="0.59055118110236227" footer="0.31496062992125984"/>
  <pageSetup paperSize="9" orientation="portrait" verticalDpi="300" r:id="rId1"/>
  <headerFooter alignWithMargins="0">
    <oddHeader xml:space="preserve">&amp;R&amp;"HG丸ｺﾞｼｯｸM-PRO,太字"&amp;10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完了届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Mieko Kanekawa</dc:creator>
  <cp:lastModifiedBy>小山 和也</cp:lastModifiedBy>
  <cp:lastPrinted>2026-03-04T00:25:57Z</cp:lastPrinted>
  <dcterms:created xsi:type="dcterms:W3CDTF">1999-02-22T06:39:24Z</dcterms:created>
  <dcterms:modified xsi:type="dcterms:W3CDTF">2026-05-29T00:52:48Z</dcterms:modified>
</cp:coreProperties>
</file>